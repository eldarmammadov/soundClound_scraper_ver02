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pythonPro\w_crawl\SoundCloud_tracklist_pro\SoundCloudTrackerApp_003.3.3_new\outputFile\"/>
    </mc:Choice>
  </mc:AlternateContent>
  <bookViews>
    <workbookView xWindow="-120" yWindow="-120" windowWidth="29040" windowHeight="15840"/>
  </bookViews>
  <sheets>
    <sheet name="Sheet1" sheetId="1" r:id="rId1"/>
  </sheets>
  <calcPr calcId="152511"/>
</workbook>
</file>

<file path=xl/calcChain.xml><?xml version="1.0" encoding="utf-8"?>
<calcChain xmlns="http://schemas.openxmlformats.org/spreadsheetml/2006/main">
  <c r="AL3" i="1" l="1" a="1"/>
  <c r="AL3" i="1" s="1"/>
  <c r="AL4" i="1" a="1"/>
  <c r="AL4" i="1" s="1"/>
  <c r="AL5" i="1" a="1"/>
  <c r="AL5" i="1" s="1"/>
  <c r="AL6" i="1" a="1"/>
  <c r="AL6" i="1" s="1"/>
  <c r="AL7" i="1" a="1"/>
  <c r="AL7" i="1" s="1"/>
  <c r="AL8" i="1" a="1"/>
  <c r="AL8" i="1" s="1"/>
  <c r="AL9" i="1" a="1"/>
  <c r="AL9" i="1" s="1"/>
  <c r="AL10" i="1" a="1"/>
  <c r="AL10" i="1" s="1"/>
  <c r="AL11" i="1" a="1"/>
  <c r="AL11" i="1" s="1"/>
  <c r="AL12" i="1" a="1"/>
  <c r="AL12" i="1" s="1"/>
  <c r="AL13" i="1" a="1"/>
  <c r="AL13" i="1" s="1"/>
  <c r="AK3" i="1" a="1"/>
  <c r="AK3" i="1"/>
  <c r="AK4" i="1" a="1"/>
  <c r="AK4" i="1" s="1"/>
  <c r="AK5" i="1" a="1"/>
  <c r="AK5" i="1" s="1"/>
  <c r="AK6" i="1" a="1"/>
  <c r="AK6" i="1" s="1"/>
  <c r="AK7" i="1" a="1"/>
  <c r="AK7" i="1" s="1"/>
  <c r="AK8" i="1" a="1"/>
  <c r="AK8" i="1" s="1"/>
  <c r="AK9" i="1" a="1"/>
  <c r="AK9" i="1" s="1"/>
  <c r="AK10" i="1" a="1"/>
  <c r="AK10" i="1" s="1"/>
  <c r="AK11" i="1" a="1"/>
  <c r="AK11" i="1" s="1"/>
  <c r="AK12" i="1" a="1"/>
  <c r="AK12" i="1" s="1"/>
  <c r="AK13" i="1" a="1"/>
  <c r="AK13" i="1" s="1"/>
  <c r="AI3" i="1" a="1"/>
  <c r="AI3" i="1" s="1"/>
  <c r="AI4" i="1" a="1"/>
  <c r="AI4" i="1"/>
  <c r="AI5" i="1" a="1"/>
  <c r="AI5" i="1" s="1"/>
  <c r="AI6" i="1" a="1"/>
  <c r="AI6" i="1"/>
  <c r="AI7" i="1" a="1"/>
  <c r="AI7" i="1" s="1"/>
  <c r="AI8" i="1" a="1"/>
  <c r="AI8" i="1"/>
  <c r="AI9" i="1" a="1"/>
  <c r="AI9" i="1" s="1"/>
  <c r="AI10" i="1" a="1"/>
  <c r="AI10" i="1"/>
  <c r="AI11" i="1" a="1"/>
  <c r="AI11" i="1" s="1"/>
  <c r="AI12" i="1" a="1"/>
  <c r="AI12" i="1"/>
  <c r="AI13" i="1" a="1"/>
  <c r="AI13" i="1" s="1"/>
  <c r="AI14" i="1" a="1"/>
  <c r="AI14" i="1"/>
  <c r="AI15" i="1" a="1"/>
  <c r="AI15" i="1" s="1"/>
  <c r="AI16" i="1" a="1"/>
  <c r="AI16" i="1"/>
  <c r="AI17" i="1" a="1"/>
  <c r="AI17" i="1" s="1"/>
  <c r="AI18" i="1" a="1"/>
  <c r="AI18" i="1"/>
  <c r="AI19" i="1" a="1"/>
  <c r="AI19" i="1" s="1"/>
  <c r="AI20" i="1" a="1"/>
  <c r="AI20" i="1"/>
  <c r="AI21" i="1" a="1"/>
  <c r="AI21" i="1" s="1"/>
  <c r="AI22" i="1" a="1"/>
  <c r="AI22" i="1"/>
  <c r="AI23" i="1" a="1"/>
  <c r="AI23" i="1" s="1"/>
  <c r="AI24" i="1" a="1"/>
  <c r="AI24" i="1"/>
  <c r="AI25" i="1" a="1"/>
  <c r="AI25" i="1" s="1"/>
  <c r="AI26" i="1" a="1"/>
  <c r="AI26" i="1"/>
  <c r="AI27" i="1" a="1"/>
  <c r="AI27" i="1" s="1"/>
  <c r="AI28" i="1" a="1"/>
  <c r="AI28" i="1"/>
  <c r="AI29" i="1" a="1"/>
  <c r="AI29" i="1" s="1"/>
  <c r="AI30" i="1" a="1"/>
  <c r="AI30" i="1"/>
  <c r="AI31" i="1" a="1"/>
  <c r="AI31" i="1" s="1"/>
  <c r="AI32" i="1" a="1"/>
  <c r="AI32" i="1"/>
  <c r="AI33" i="1" a="1"/>
  <c r="AI33" i="1" s="1"/>
  <c r="AI34" i="1" a="1"/>
  <c r="AI34" i="1"/>
  <c r="AI35" i="1" a="1"/>
  <c r="AI35" i="1" s="1"/>
  <c r="AI36" i="1" a="1"/>
  <c r="AI36" i="1"/>
  <c r="AI37" i="1" a="1"/>
  <c r="AI37" i="1" s="1"/>
  <c r="AI38" i="1" a="1"/>
  <c r="AI38" i="1"/>
  <c r="AI39" i="1" a="1"/>
  <c r="AI39" i="1" s="1"/>
  <c r="AI40" i="1" a="1"/>
  <c r="AI40" i="1"/>
  <c r="AH3" i="1"/>
  <c r="AH4" i="1"/>
  <c r="AH5" i="1"/>
  <c r="AH6" i="1"/>
  <c r="AH7" i="1"/>
  <c r="AH8" i="1"/>
  <c r="AH9" i="1"/>
  <c r="AH10" i="1"/>
  <c r="AH11" i="1"/>
  <c r="AG3" i="1" a="1"/>
  <c r="AG3" i="1" s="1"/>
  <c r="AG4" i="1" a="1"/>
  <c r="AG4" i="1"/>
  <c r="AG5" i="1" a="1"/>
  <c r="AG5" i="1" s="1"/>
  <c r="AG6" i="1" a="1"/>
  <c r="AG6" i="1"/>
  <c r="AE3" i="1"/>
  <c r="AE4" i="1"/>
  <c r="AE5" i="1"/>
  <c r="AE6" i="1"/>
  <c r="AE7" i="1"/>
  <c r="AE8" i="1"/>
  <c r="AE9" i="1"/>
  <c r="AE10" i="1"/>
  <c r="AE11" i="1"/>
  <c r="AE12" i="1"/>
  <c r="AE13" i="1"/>
  <c r="AE14" i="1"/>
  <c r="AE15" i="1"/>
  <c r="AE16" i="1"/>
  <c r="AE17" i="1"/>
  <c r="AE18" i="1"/>
  <c r="AE19" i="1"/>
  <c r="AE20" i="1"/>
  <c r="AE21" i="1"/>
  <c r="AE22" i="1"/>
  <c r="AE23" i="1"/>
  <c r="AE24" i="1"/>
  <c r="AE25" i="1"/>
  <c r="AE26" i="1"/>
  <c r="AE27" i="1"/>
  <c r="AE28" i="1"/>
  <c r="AE29" i="1"/>
  <c r="AE30" i="1"/>
  <c r="AE31" i="1"/>
  <c r="AE32" i="1"/>
  <c r="AE33" i="1"/>
  <c r="AD3" i="1" a="1"/>
  <c r="AD3" i="1" s="1"/>
  <c r="AD4" i="1" a="1"/>
  <c r="AD4" i="1"/>
  <c r="AD5" i="1" a="1"/>
  <c r="AD5" i="1" s="1"/>
  <c r="AD6" i="1" a="1"/>
  <c r="AD6" i="1"/>
  <c r="AD7" i="1" a="1"/>
  <c r="AD7" i="1" s="1"/>
  <c r="AD8" i="1" a="1"/>
  <c r="AD8" i="1"/>
  <c r="AD9" i="1" a="1"/>
  <c r="AD9" i="1" s="1"/>
  <c r="AD10" i="1" a="1"/>
  <c r="AD10" i="1"/>
  <c r="AD11" i="1" a="1"/>
  <c r="AD11" i="1" s="1"/>
  <c r="AD12" i="1" a="1"/>
  <c r="AD12" i="1"/>
  <c r="AD13" i="1" a="1"/>
  <c r="AD13" i="1" s="1"/>
  <c r="AD14" i="1" a="1"/>
  <c r="AD14" i="1"/>
  <c r="AD15" i="1" a="1"/>
  <c r="AD15" i="1" s="1"/>
  <c r="AD16" i="1" a="1"/>
  <c r="AD16" i="1"/>
  <c r="AD17" i="1" a="1"/>
  <c r="AD17" i="1" s="1"/>
  <c r="AD18" i="1" a="1"/>
  <c r="AD18" i="1"/>
  <c r="AD19" i="1" a="1"/>
  <c r="AD19" i="1" s="1"/>
  <c r="AD20" i="1" a="1"/>
  <c r="AD20" i="1"/>
  <c r="AD21" i="1" a="1"/>
  <c r="AD21" i="1" s="1"/>
  <c r="AD22" i="1" a="1"/>
  <c r="AD22" i="1"/>
  <c r="AD23" i="1" a="1"/>
  <c r="AD23" i="1" s="1"/>
  <c r="AD24" i="1" a="1"/>
  <c r="AD24" i="1"/>
  <c r="AD25" i="1" a="1"/>
  <c r="AD25" i="1" s="1"/>
  <c r="AD26" i="1" a="1"/>
  <c r="AD26" i="1"/>
  <c r="AD27" i="1" a="1"/>
  <c r="AD27" i="1" s="1"/>
  <c r="AC3" i="1" a="1"/>
  <c r="AC3" i="1"/>
  <c r="AC4" i="1" a="1"/>
  <c r="AC4" i="1" s="1"/>
  <c r="AC5" i="1" a="1"/>
  <c r="AC5" i="1" s="1"/>
  <c r="AC6" i="1" a="1"/>
  <c r="AC6" i="1" s="1"/>
  <c r="AC7" i="1" a="1"/>
  <c r="AC7" i="1" s="1"/>
  <c r="AC8" i="1" a="1"/>
  <c r="AC8" i="1" s="1"/>
  <c r="AC9" i="1" a="1"/>
  <c r="AC9" i="1" s="1"/>
  <c r="AC10" i="1" a="1"/>
  <c r="AC10" i="1" s="1"/>
  <c r="AC11" i="1" a="1"/>
  <c r="AC11" i="1" s="1"/>
  <c r="AC12" i="1" a="1"/>
  <c r="AC12" i="1" s="1"/>
  <c r="AC13" i="1" a="1"/>
  <c r="AC13" i="1" s="1"/>
  <c r="AC14" i="1" a="1"/>
  <c r="AC14" i="1" s="1"/>
  <c r="AC15" i="1" a="1"/>
  <c r="AC15" i="1" s="1"/>
  <c r="AC16" i="1" a="1"/>
  <c r="AC16" i="1" s="1"/>
  <c r="AC17" i="1" a="1"/>
  <c r="AC17" i="1" s="1"/>
  <c r="AC18" i="1" a="1"/>
  <c r="AC18" i="1" s="1"/>
  <c r="AC19" i="1" a="1"/>
  <c r="AC19" i="1" s="1"/>
  <c r="AC20" i="1" a="1"/>
  <c r="AC20" i="1" s="1"/>
  <c r="AC21" i="1" a="1"/>
  <c r="AC21" i="1" s="1"/>
  <c r="AC22" i="1" a="1"/>
  <c r="AC22" i="1" s="1"/>
  <c r="AC23" i="1" a="1"/>
  <c r="AC23" i="1" s="1"/>
  <c r="AC24" i="1" a="1"/>
  <c r="AC24" i="1" s="1"/>
  <c r="AC25" i="1" a="1"/>
  <c r="AC25" i="1" s="1"/>
  <c r="AB3" i="1" a="1"/>
  <c r="AB3" i="1" s="1"/>
  <c r="AB4" i="1" a="1"/>
  <c r="AB4" i="1"/>
  <c r="AB5" i="1" a="1"/>
  <c r="AB5" i="1" s="1"/>
  <c r="AB6" i="1" a="1"/>
  <c r="AB6" i="1"/>
  <c r="AB7" i="1" a="1"/>
  <c r="AB7" i="1" s="1"/>
  <c r="AB8" i="1" a="1"/>
  <c r="AB8" i="1"/>
  <c r="AB9" i="1" a="1"/>
  <c r="AB9" i="1" s="1"/>
  <c r="AB10" i="1" a="1"/>
  <c r="AB10" i="1"/>
  <c r="AB11" i="1" a="1"/>
  <c r="AB11" i="1" s="1"/>
  <c r="AB12" i="1" a="1"/>
  <c r="AB12" i="1"/>
  <c r="AB13" i="1" a="1"/>
  <c r="AB13" i="1" s="1"/>
  <c r="AB14" i="1" a="1"/>
  <c r="AB14" i="1"/>
  <c r="AB15" i="1" a="1"/>
  <c r="AB15" i="1" s="1"/>
  <c r="AB16" i="1" a="1"/>
  <c r="AB16" i="1"/>
  <c r="AB17" i="1" a="1"/>
  <c r="AB17" i="1" s="1"/>
  <c r="AB18" i="1" a="1"/>
  <c r="AB18" i="1"/>
  <c r="AB19" i="1" a="1"/>
  <c r="AB19" i="1" s="1"/>
  <c r="AB20" i="1" a="1"/>
  <c r="AB20" i="1"/>
  <c r="AB21" i="1" a="1"/>
  <c r="AB21" i="1" s="1"/>
  <c r="AB22" i="1" a="1"/>
  <c r="AB22" i="1"/>
  <c r="AB23" i="1" a="1"/>
  <c r="AB23" i="1" s="1"/>
  <c r="AB24" i="1" a="1"/>
  <c r="AB24" i="1"/>
  <c r="AB25" i="1" a="1"/>
  <c r="AB25" i="1" s="1"/>
  <c r="AB26" i="1" a="1"/>
  <c r="AB26" i="1"/>
  <c r="AB27" i="1" a="1"/>
  <c r="AB27" i="1" s="1"/>
  <c r="AB28" i="1" a="1"/>
  <c r="AB28" i="1"/>
  <c r="AB29" i="1" a="1"/>
  <c r="AB29" i="1" s="1"/>
  <c r="AB30" i="1" a="1"/>
  <c r="AB30" i="1"/>
  <c r="AB31" i="1" a="1"/>
  <c r="AB31" i="1" s="1"/>
  <c r="AB32" i="1" a="1"/>
  <c r="AB32" i="1"/>
  <c r="AB33" i="1" a="1"/>
  <c r="AB33" i="1" s="1"/>
  <c r="AB34" i="1" a="1"/>
  <c r="AB34" i="1" s="1"/>
  <c r="AB35" i="1" a="1"/>
  <c r="AB35" i="1" s="1"/>
  <c r="AB36" i="1" a="1"/>
  <c r="AB36" i="1" s="1"/>
  <c r="AB37" i="1" a="1"/>
  <c r="AB37" i="1" s="1"/>
  <c r="AB38" i="1" a="1"/>
  <c r="AB38" i="1" s="1"/>
  <c r="AB39" i="1" a="1"/>
  <c r="AB39" i="1" s="1"/>
  <c r="AB40" i="1" a="1"/>
  <c r="AB40" i="1" s="1"/>
  <c r="AA3" i="1" a="1"/>
  <c r="AA3" i="1" s="1"/>
  <c r="AA4" i="1" a="1"/>
  <c r="AA4" i="1" s="1"/>
  <c r="AA5" i="1" a="1"/>
  <c r="AA5" i="1" s="1"/>
  <c r="AA6" i="1" a="1"/>
  <c r="AA6" i="1" s="1"/>
  <c r="AA7" i="1" a="1"/>
  <c r="AA7" i="1" s="1"/>
  <c r="AA8" i="1" a="1"/>
  <c r="AA8" i="1" s="1"/>
  <c r="AA9" i="1" a="1"/>
  <c r="AA9" i="1" s="1"/>
  <c r="AA10" i="1" a="1"/>
  <c r="AA10" i="1" s="1"/>
  <c r="AA11" i="1" a="1"/>
  <c r="AA11" i="1" s="1"/>
  <c r="AA12" i="1" a="1"/>
  <c r="AA12" i="1" s="1"/>
  <c r="AA13" i="1" a="1"/>
  <c r="AA13" i="1" s="1"/>
  <c r="AA14" i="1" a="1"/>
  <c r="AA14" i="1" s="1"/>
  <c r="AA15" i="1" a="1"/>
  <c r="AA15" i="1" s="1"/>
  <c r="AA16" i="1" a="1"/>
  <c r="AA16" i="1" s="1"/>
  <c r="AA17" i="1" a="1"/>
  <c r="AA17" i="1" s="1"/>
  <c r="AA18" i="1" a="1"/>
  <c r="AA18" i="1" s="1"/>
  <c r="AA19" i="1" a="1"/>
  <c r="AA19" i="1" s="1"/>
  <c r="AA20" i="1" a="1"/>
  <c r="AA20" i="1" s="1"/>
  <c r="AA21" i="1" a="1"/>
  <c r="AA21" i="1" s="1"/>
  <c r="AA22" i="1" a="1"/>
  <c r="AA22" i="1" s="1"/>
  <c r="AA23" i="1" a="1"/>
  <c r="AA23" i="1" s="1"/>
  <c r="AA24" i="1" a="1"/>
  <c r="AA24" i="1" s="1"/>
  <c r="AA25" i="1" a="1"/>
  <c r="AA25" i="1" s="1"/>
  <c r="AA26" i="1" a="1"/>
  <c r="AA26" i="1" s="1"/>
  <c r="AA27" i="1" a="1"/>
  <c r="AA27" i="1" s="1"/>
  <c r="AA28" i="1" a="1"/>
  <c r="AA28" i="1" s="1"/>
  <c r="AA29" i="1" a="1"/>
  <c r="AA29" i="1" s="1"/>
  <c r="AA30" i="1" a="1"/>
  <c r="AA30" i="1" s="1"/>
  <c r="AA31" i="1" a="1"/>
  <c r="AA31" i="1" s="1"/>
  <c r="Z3" i="1" a="1"/>
  <c r="Z3" i="1" s="1"/>
  <c r="Z4" i="1" a="1"/>
  <c r="Z4" i="1" s="1"/>
  <c r="Z5" i="1" a="1"/>
  <c r="Z5" i="1" s="1"/>
  <c r="Z6" i="1" a="1"/>
  <c r="Z6" i="1" s="1"/>
  <c r="Z7" i="1" a="1"/>
  <c r="Z7" i="1" s="1"/>
  <c r="Z8" i="1" a="1"/>
  <c r="Z8" i="1" s="1"/>
  <c r="Z9" i="1" a="1"/>
  <c r="Z9" i="1" s="1"/>
  <c r="Z10" i="1" a="1"/>
  <c r="Z10" i="1" s="1"/>
  <c r="Z11" i="1" a="1"/>
  <c r="Z11" i="1" s="1"/>
  <c r="Z12" i="1" a="1"/>
  <c r="Z12" i="1" s="1"/>
  <c r="Z13" i="1" a="1"/>
  <c r="Z13" i="1" s="1"/>
  <c r="Z14" i="1" a="1"/>
  <c r="Z14" i="1" s="1"/>
  <c r="Z15" i="1" a="1"/>
  <c r="Z15" i="1" s="1"/>
  <c r="Z16" i="1" a="1"/>
  <c r="Z16" i="1" s="1"/>
  <c r="Z17" i="1" a="1"/>
  <c r="Z17" i="1" s="1"/>
  <c r="Z18" i="1" a="1"/>
  <c r="Z18" i="1" s="1"/>
  <c r="Z19" i="1" a="1"/>
  <c r="Z19" i="1" s="1"/>
  <c r="Z20" i="1" a="1"/>
  <c r="Z20" i="1" s="1"/>
  <c r="Z21" i="1" a="1"/>
  <c r="Z21" i="1" s="1"/>
  <c r="Z22" i="1" a="1"/>
  <c r="Z22" i="1" s="1"/>
  <c r="Z23" i="1" a="1"/>
  <c r="Z23" i="1" s="1"/>
  <c r="Z24" i="1" a="1"/>
  <c r="Z24" i="1" s="1"/>
  <c r="Z25" i="1" a="1"/>
  <c r="Z25" i="1" s="1"/>
  <c r="Z26" i="1" a="1"/>
  <c r="Z26" i="1" s="1"/>
  <c r="Z27" i="1" a="1"/>
  <c r="Z27" i="1" s="1"/>
  <c r="Z28" i="1" a="1"/>
  <c r="Z28" i="1" s="1"/>
  <c r="Z29" i="1" a="1"/>
  <c r="Z29" i="1" s="1"/>
  <c r="Z30" i="1" a="1"/>
  <c r="Z30" i="1" s="1"/>
  <c r="Z31" i="1" a="1"/>
  <c r="Z31" i="1" s="1"/>
  <c r="Z32" i="1" a="1"/>
  <c r="Z32" i="1" s="1"/>
  <c r="Z33" i="1" a="1"/>
  <c r="Z33" i="1" s="1"/>
  <c r="Z34" i="1" a="1"/>
  <c r="Z34" i="1" s="1"/>
  <c r="Z35" i="1" a="1"/>
  <c r="Z35" i="1" s="1"/>
  <c r="Y3" i="1" a="1"/>
  <c r="Y3" i="1" s="1"/>
  <c r="Y4" i="1" a="1"/>
  <c r="Y4" i="1" s="1"/>
  <c r="Y5" i="1" a="1"/>
  <c r="Y5" i="1" s="1"/>
  <c r="Y6" i="1" a="1"/>
  <c r="Y6" i="1" s="1"/>
  <c r="Y7" i="1" a="1"/>
  <c r="Y7" i="1" s="1"/>
  <c r="Y8" i="1" a="1"/>
  <c r="Y8" i="1" s="1"/>
  <c r="Y9" i="1" a="1"/>
  <c r="Y9" i="1" s="1"/>
  <c r="Y10" i="1" a="1"/>
  <c r="Y10" i="1" s="1"/>
  <c r="Y11" i="1" a="1"/>
  <c r="Y11" i="1" s="1"/>
  <c r="Y12" i="1" a="1"/>
  <c r="Y12" i="1" s="1"/>
  <c r="Y13" i="1" a="1"/>
  <c r="Y13" i="1" s="1"/>
  <c r="Y14" i="1" a="1"/>
  <c r="Y14" i="1" s="1"/>
  <c r="Y15" i="1" a="1"/>
  <c r="Y15" i="1" s="1"/>
  <c r="Y16" i="1" a="1"/>
  <c r="Y16" i="1" s="1"/>
  <c r="Y17" i="1" a="1"/>
  <c r="Y17" i="1" s="1"/>
  <c r="Y18" i="1" a="1"/>
  <c r="Y18" i="1" s="1"/>
  <c r="Y19" i="1" a="1"/>
  <c r="Y19" i="1" s="1"/>
  <c r="Y20" i="1" a="1"/>
  <c r="Y20" i="1" s="1"/>
  <c r="Y21" i="1" a="1"/>
  <c r="Y21" i="1" s="1"/>
  <c r="Y22" i="1" a="1"/>
  <c r="Y22" i="1" s="1"/>
  <c r="Y23" i="1" a="1"/>
  <c r="Y23" i="1" s="1"/>
  <c r="Y24" i="1" a="1"/>
  <c r="Y24" i="1" s="1"/>
  <c r="Y25" i="1" a="1"/>
  <c r="Y25" i="1" s="1"/>
  <c r="Y26" i="1" a="1"/>
  <c r="Y26" i="1" s="1"/>
  <c r="Y27" i="1" a="1"/>
  <c r="Y27" i="1" s="1"/>
  <c r="Y28" i="1" a="1"/>
  <c r="Y28" i="1" s="1"/>
  <c r="Y29" i="1" a="1"/>
  <c r="Y29" i="1" s="1"/>
  <c r="X13" i="1" a="1"/>
  <c r="X13" i="1" s="1"/>
  <c r="X14" i="1" a="1"/>
  <c r="X14" i="1" s="1"/>
  <c r="X15" i="1" a="1"/>
  <c r="X15" i="1" s="1"/>
  <c r="V3" i="1"/>
  <c r="V4" i="1"/>
  <c r="V5" i="1"/>
  <c r="V6" i="1"/>
  <c r="V7" i="1"/>
  <c r="V8" i="1"/>
  <c r="V9" i="1"/>
  <c r="V10" i="1"/>
  <c r="V11" i="1"/>
  <c r="V12" i="1"/>
  <c r="V13" i="1"/>
  <c r="V14" i="1"/>
  <c r="V15" i="1"/>
  <c r="V16" i="1"/>
  <c r="V17" i="1"/>
  <c r="V18" i="1"/>
  <c r="V19" i="1"/>
  <c r="V20" i="1"/>
  <c r="V21" i="1"/>
  <c r="V22" i="1"/>
  <c r="V23" i="1"/>
  <c r="V24" i="1"/>
  <c r="V25" i="1"/>
  <c r="V26" i="1"/>
  <c r="V27" i="1"/>
  <c r="V28" i="1"/>
  <c r="V29" i="1"/>
  <c r="V30" i="1"/>
  <c r="V31" i="1"/>
  <c r="V32" i="1"/>
  <c r="V33" i="1"/>
  <c r="V34" i="1"/>
  <c r="V35" i="1"/>
  <c r="V36" i="1"/>
  <c r="V37" i="1"/>
  <c r="V38" i="1"/>
  <c r="U3" i="1"/>
  <c r="U4" i="1"/>
  <c r="U5" i="1"/>
  <c r="U6" i="1"/>
  <c r="U7" i="1"/>
  <c r="U8" i="1"/>
  <c r="U9" i="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T3" i="1" a="1"/>
  <c r="T3" i="1" s="1"/>
  <c r="T4" i="1" a="1"/>
  <c r="T4" i="1" s="1"/>
  <c r="T5" i="1" a="1"/>
  <c r="T5" i="1" s="1"/>
  <c r="T6" i="1" a="1"/>
  <c r="T6" i="1" s="1"/>
  <c r="T7" i="1" a="1"/>
  <c r="T7" i="1" s="1"/>
  <c r="T8" i="1" a="1"/>
  <c r="T8" i="1" s="1"/>
  <c r="T9" i="1" a="1"/>
  <c r="T9" i="1" s="1"/>
  <c r="T10" i="1" a="1"/>
  <c r="T10" i="1" s="1"/>
  <c r="T11" i="1" a="1"/>
  <c r="T11" i="1" s="1"/>
  <c r="T12" i="1" a="1"/>
  <c r="T12" i="1" s="1"/>
  <c r="T13" i="1" a="1"/>
  <c r="T13" i="1" s="1"/>
  <c r="T14" i="1" a="1"/>
  <c r="T14" i="1" s="1"/>
  <c r="T15" i="1" a="1"/>
  <c r="T15" i="1" s="1"/>
  <c r="T16" i="1" a="1"/>
  <c r="T16" i="1" s="1"/>
  <c r="T17" i="1" a="1"/>
  <c r="T17" i="1" s="1"/>
  <c r="T18" i="1" a="1"/>
  <c r="T18" i="1" s="1"/>
  <c r="T19" i="1" a="1"/>
  <c r="T19" i="1" s="1"/>
  <c r="T20" i="1" a="1"/>
  <c r="T20" i="1" s="1"/>
  <c r="T21" i="1" a="1"/>
  <c r="T21" i="1" s="1"/>
  <c r="T22" i="1" a="1"/>
  <c r="T22" i="1" s="1"/>
  <c r="T23" i="1" a="1"/>
  <c r="T23" i="1" s="1"/>
  <c r="T24" i="1" a="1"/>
  <c r="T24" i="1" s="1"/>
  <c r="T25" i="1" a="1"/>
  <c r="T25" i="1" s="1"/>
  <c r="T26" i="1" a="1"/>
  <c r="T26" i="1" s="1"/>
  <c r="T27" i="1" a="1"/>
  <c r="T27" i="1" s="1"/>
  <c r="T28" i="1" a="1"/>
  <c r="T28" i="1" s="1"/>
  <c r="T29" i="1" a="1"/>
  <c r="T29" i="1" s="1"/>
  <c r="T30" i="1" a="1"/>
  <c r="T30" i="1" s="1"/>
  <c r="T31" i="1" a="1"/>
  <c r="T31" i="1" s="1"/>
  <c r="T32" i="1" a="1"/>
  <c r="T32" i="1" s="1"/>
  <c r="T33" i="1" a="1"/>
  <c r="T33" i="1" s="1"/>
  <c r="T34" i="1" a="1"/>
  <c r="T34" i="1" s="1"/>
  <c r="T35" i="1" a="1"/>
  <c r="T35" i="1" s="1"/>
  <c r="T36" i="1" a="1"/>
  <c r="T36" i="1" s="1"/>
  <c r="T37" i="1" a="1"/>
  <c r="T37" i="1" s="1"/>
  <c r="T38" i="1" a="1"/>
  <c r="T38" i="1" s="1"/>
  <c r="T39" i="1" a="1"/>
  <c r="T39" i="1" s="1"/>
  <c r="T40" i="1" a="1"/>
  <c r="T40" i="1" s="1"/>
  <c r="S3" i="1" a="1"/>
  <c r="S3" i="1"/>
  <c r="S4" i="1" a="1"/>
  <c r="S4" i="1" s="1"/>
  <c r="S5" i="1" a="1"/>
  <c r="S5" i="1" s="1"/>
  <c r="S6" i="1" a="1"/>
  <c r="S6" i="1" s="1"/>
  <c r="S7" i="1" a="1"/>
  <c r="S7" i="1" s="1"/>
  <c r="S8" i="1" a="1"/>
  <c r="S8" i="1" s="1"/>
  <c r="S9" i="1" a="1"/>
  <c r="S9" i="1" s="1"/>
  <c r="S10" i="1" a="1"/>
  <c r="S10" i="1" s="1"/>
  <c r="S11" i="1" a="1"/>
  <c r="S11" i="1" s="1"/>
  <c r="S12" i="1" a="1"/>
  <c r="S12" i="1" s="1"/>
  <c r="S13" i="1" a="1"/>
  <c r="S13" i="1" s="1"/>
  <c r="S14" i="1" a="1"/>
  <c r="S14" i="1" s="1"/>
  <c r="S15" i="1" a="1"/>
  <c r="S15" i="1" s="1"/>
  <c r="S16" i="1" a="1"/>
  <c r="S16" i="1" s="1"/>
  <c r="S17" i="1" a="1"/>
  <c r="S17" i="1" s="1"/>
  <c r="S18" i="1" a="1"/>
  <c r="S18" i="1" s="1"/>
  <c r="S19" i="1" a="1"/>
  <c r="S19" i="1" s="1"/>
  <c r="S20" i="1" a="1"/>
  <c r="S20" i="1" s="1"/>
  <c r="S21" i="1" a="1"/>
  <c r="S21" i="1" s="1"/>
  <c r="S22" i="1" a="1"/>
  <c r="S22" i="1" s="1"/>
  <c r="S23" i="1" a="1"/>
  <c r="S23" i="1" s="1"/>
  <c r="S24" i="1" a="1"/>
  <c r="S24" i="1" s="1"/>
  <c r="S25" i="1" a="1"/>
  <c r="S25" i="1" s="1"/>
  <c r="S26" i="1" a="1"/>
  <c r="S26" i="1" s="1"/>
  <c r="S27" i="1" a="1"/>
  <c r="S27" i="1" s="1"/>
  <c r="S28" i="1" a="1"/>
  <c r="S28" i="1" s="1"/>
  <c r="S29" i="1" a="1"/>
  <c r="S29" i="1" s="1"/>
  <c r="S30" i="1" a="1"/>
  <c r="S30" i="1" s="1"/>
  <c r="S31" i="1" a="1"/>
  <c r="S31" i="1" s="1"/>
  <c r="S32" i="1" a="1"/>
  <c r="S32" i="1" s="1"/>
  <c r="S33" i="1" a="1"/>
  <c r="S33" i="1" s="1"/>
  <c r="S34" i="1" a="1"/>
  <c r="S34" i="1" s="1"/>
  <c r="S35" i="1" a="1"/>
  <c r="S35" i="1" s="1"/>
  <c r="S36" i="1" a="1"/>
  <c r="S36" i="1" s="1"/>
  <c r="S37" i="1" a="1"/>
  <c r="S37" i="1" s="1"/>
  <c r="S38" i="1" a="1"/>
  <c r="S38" i="1" s="1"/>
  <c r="S39" i="1" a="1"/>
  <c r="S39" i="1" s="1"/>
  <c r="S40" i="1" a="1"/>
  <c r="S40" i="1" s="1"/>
  <c r="R3" i="1" a="1"/>
  <c r="R3" i="1"/>
  <c r="R4" i="1" a="1"/>
  <c r="R4" i="1" s="1"/>
  <c r="R5" i="1" a="1"/>
  <c r="R5" i="1" s="1"/>
  <c r="R6" i="1" a="1"/>
  <c r="R6" i="1" s="1"/>
  <c r="R7" i="1" a="1"/>
  <c r="R7" i="1" s="1"/>
  <c r="R8" i="1" a="1"/>
  <c r="R8" i="1" s="1"/>
  <c r="R9" i="1" a="1"/>
  <c r="R9" i="1" s="1"/>
  <c r="R10" i="1" a="1"/>
  <c r="R10" i="1" s="1"/>
  <c r="R11" i="1" a="1"/>
  <c r="R11" i="1" s="1"/>
  <c r="R12" i="1" a="1"/>
  <c r="R12" i="1" s="1"/>
  <c r="R13" i="1" a="1"/>
  <c r="R13" i="1" s="1"/>
  <c r="R14" i="1" a="1"/>
  <c r="R14" i="1" s="1"/>
  <c r="R15" i="1" a="1"/>
  <c r="R15" i="1" s="1"/>
  <c r="R16" i="1" a="1"/>
  <c r="R16" i="1" s="1"/>
  <c r="R17" i="1" a="1"/>
  <c r="R17" i="1" s="1"/>
  <c r="R18" i="1" a="1"/>
  <c r="R18" i="1" s="1"/>
  <c r="R19" i="1" a="1"/>
  <c r="R19" i="1" s="1"/>
  <c r="R20" i="1" a="1"/>
  <c r="R20" i="1" s="1"/>
  <c r="R21" i="1" a="1"/>
  <c r="R21" i="1" s="1"/>
  <c r="R22" i="1" a="1"/>
  <c r="R22" i="1" s="1"/>
  <c r="R23" i="1" a="1"/>
  <c r="R23" i="1" s="1"/>
  <c r="R24" i="1" a="1"/>
  <c r="R24" i="1" s="1"/>
  <c r="R25" i="1" a="1"/>
  <c r="R25" i="1" s="1"/>
  <c r="R26" i="1" a="1"/>
  <c r="R26" i="1" s="1"/>
  <c r="R27" i="1" a="1"/>
  <c r="R27" i="1" s="1"/>
  <c r="R28" i="1" a="1"/>
  <c r="R28" i="1" s="1"/>
  <c r="R29" i="1" a="1"/>
  <c r="R29" i="1" s="1"/>
  <c r="R30" i="1" a="1"/>
  <c r="R30" i="1" s="1"/>
  <c r="R31" i="1" a="1"/>
  <c r="R31" i="1" s="1"/>
  <c r="R32" i="1" a="1"/>
  <c r="R32" i="1" s="1"/>
  <c r="R33" i="1" a="1"/>
  <c r="R33" i="1" s="1"/>
  <c r="R34" i="1" a="1"/>
  <c r="R34" i="1" s="1"/>
  <c r="R35" i="1" a="1"/>
  <c r="R35" i="1" s="1"/>
  <c r="R36" i="1" a="1"/>
  <c r="R36" i="1" s="1"/>
  <c r="R37" i="1" a="1"/>
  <c r="R37" i="1" s="1"/>
  <c r="R38" i="1" a="1"/>
  <c r="R38" i="1" s="1"/>
  <c r="R39" i="1" a="1"/>
  <c r="R39" i="1" s="1"/>
  <c r="R40" i="1" a="1"/>
  <c r="R40" i="1" s="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BM58" i="1"/>
  <c r="BV58" i="1" s="1"/>
  <c r="BL58" i="1"/>
  <c r="BM57" i="1"/>
  <c r="BU57" i="1" s="1"/>
  <c r="BL57" i="1"/>
  <c r="BN56" i="1"/>
  <c r="BM56" i="1"/>
  <c r="BR56" i="1" s="1"/>
  <c r="BL56" i="1"/>
  <c r="BP55" i="1"/>
  <c r="BM55" i="1"/>
  <c r="BT55" i="1" s="1"/>
  <c r="BL55" i="1"/>
  <c r="BM54" i="1"/>
  <c r="BV54" i="1" s="1"/>
  <c r="BL54" i="1"/>
  <c r="BS53" i="1"/>
  <c r="BN53" i="1"/>
  <c r="BM53" i="1"/>
  <c r="BU53" i="1" s="1"/>
  <c r="BL53" i="1"/>
  <c r="BM52" i="1"/>
  <c r="BR52" i="1" s="1"/>
  <c r="BL52" i="1"/>
  <c r="BM51" i="1"/>
  <c r="BT51" i="1" s="1"/>
  <c r="BL51" i="1"/>
  <c r="BQ45" i="1"/>
  <c r="BG45" i="1"/>
  <c r="BQ44" i="1"/>
  <c r="BG44" i="1"/>
  <c r="BQ43" i="1"/>
  <c r="BG43" i="1"/>
  <c r="BQ42" i="1"/>
  <c r="BG42" i="1"/>
  <c r="BQ41" i="1"/>
  <c r="BG41" i="1"/>
  <c r="BQ40" i="1"/>
  <c r="BG40" i="1"/>
  <c r="AN40" i="1"/>
  <c r="AH40" i="1"/>
  <c r="BQ39" i="1"/>
  <c r="BL39" i="1"/>
  <c r="BG39" i="1"/>
  <c r="AN39" i="1"/>
  <c r="AH39" i="1"/>
  <c r="BQ38" i="1"/>
  <c r="BL38" i="1"/>
  <c r="BG38" i="1"/>
  <c r="AN38" i="1"/>
  <c r="AH38" i="1"/>
  <c r="BQ37" i="1"/>
  <c r="BL37" i="1"/>
  <c r="BG37" i="1"/>
  <c r="AN37" i="1"/>
  <c r="AH37" i="1"/>
  <c r="BQ36" i="1"/>
  <c r="BL36" i="1"/>
  <c r="BG36" i="1"/>
  <c r="AN36" i="1"/>
  <c r="AH36" i="1"/>
  <c r="BQ35" i="1"/>
  <c r="BL35" i="1"/>
  <c r="BG35" i="1"/>
  <c r="AN35" i="1"/>
  <c r="AH35" i="1"/>
  <c r="AN34" i="1"/>
  <c r="AH34" i="1"/>
  <c r="AN33" i="1"/>
  <c r="AH33" i="1"/>
  <c r="AN32" i="1"/>
  <c r="AH32" i="1"/>
  <c r="BX31" i="1"/>
  <c r="BT31" i="1"/>
  <c r="BP31" i="1"/>
  <c r="BL31" i="1"/>
  <c r="BG31" i="1"/>
  <c r="AN31" i="1"/>
  <c r="AH31" i="1"/>
  <c r="BX30" i="1"/>
  <c r="BT30" i="1"/>
  <c r="BP30" i="1"/>
  <c r="BL30" i="1"/>
  <c r="BG30" i="1"/>
  <c r="AN30" i="1"/>
  <c r="AH30" i="1"/>
  <c r="BX29" i="1"/>
  <c r="BT29" i="1"/>
  <c r="BP29" i="1"/>
  <c r="BL29" i="1"/>
  <c r="BG29" i="1"/>
  <c r="AN29" i="1"/>
  <c r="AH29" i="1"/>
  <c r="BX28" i="1"/>
  <c r="BT28" i="1"/>
  <c r="BP28" i="1"/>
  <c r="BL28" i="1"/>
  <c r="BG28" i="1"/>
  <c r="AN28" i="1"/>
  <c r="AH28" i="1"/>
  <c r="BX27" i="1"/>
  <c r="BT27" i="1"/>
  <c r="BP27" i="1"/>
  <c r="BL27" i="1"/>
  <c r="BG27" i="1"/>
  <c r="AN27" i="1"/>
  <c r="AH27" i="1"/>
  <c r="BX26" i="1"/>
  <c r="BT26" i="1"/>
  <c r="BP26" i="1"/>
  <c r="BL26" i="1"/>
  <c r="BG26" i="1"/>
  <c r="AN26" i="1"/>
  <c r="AH26" i="1"/>
  <c r="BX25" i="1"/>
  <c r="BT25" i="1"/>
  <c r="BP25" i="1"/>
  <c r="BL25" i="1"/>
  <c r="BG25" i="1"/>
  <c r="AN25" i="1"/>
  <c r="AH25" i="1"/>
  <c r="BX24" i="1"/>
  <c r="BT24" i="1"/>
  <c r="BP24" i="1"/>
  <c r="BL24" i="1"/>
  <c r="BG24" i="1"/>
  <c r="AN24" i="1"/>
  <c r="AH24" i="1"/>
  <c r="BX23" i="1"/>
  <c r="BT23" i="1"/>
  <c r="BP23" i="1"/>
  <c r="BL23" i="1"/>
  <c r="BG23" i="1"/>
  <c r="AN23" i="1"/>
  <c r="AH23" i="1"/>
  <c r="BX22" i="1"/>
  <c r="BT22" i="1"/>
  <c r="BP22" i="1"/>
  <c r="BL22" i="1"/>
  <c r="BG22" i="1"/>
  <c r="AN22" i="1"/>
  <c r="AH22" i="1"/>
  <c r="BX21" i="1"/>
  <c r="BT21" i="1"/>
  <c r="BP21" i="1"/>
  <c r="BL21" i="1"/>
  <c r="BG21" i="1"/>
  <c r="AN21" i="1"/>
  <c r="AH21" i="1"/>
  <c r="AN20" i="1"/>
  <c r="AH20" i="1"/>
  <c r="AN19" i="1"/>
  <c r="AH19" i="1"/>
  <c r="AN18" i="1"/>
  <c r="AH18" i="1"/>
  <c r="AN17" i="1"/>
  <c r="AH17" i="1"/>
  <c r="AN16" i="1"/>
  <c r="AH16" i="1"/>
  <c r="BN15" i="1"/>
  <c r="BM15" i="1"/>
  <c r="BL15" i="1"/>
  <c r="BK15" i="1"/>
  <c r="AN15" i="1"/>
  <c r="BN14" i="1"/>
  <c r="BM14" i="1"/>
  <c r="BL14" i="1"/>
  <c r="BK14" i="1"/>
  <c r="AN14" i="1"/>
  <c r="BN13" i="1"/>
  <c r="BM13" i="1"/>
  <c r="BL13" i="1"/>
  <c r="BK13" i="1"/>
  <c r="AN13" i="1"/>
  <c r="BN12" i="1"/>
  <c r="BM12" i="1"/>
  <c r="BL12" i="1"/>
  <c r="BK12" i="1"/>
  <c r="AN12" i="1"/>
  <c r="BN11" i="1"/>
  <c r="BM11" i="1"/>
  <c r="BL11" i="1"/>
  <c r="BK11" i="1"/>
  <c r="AN11" i="1"/>
  <c r="BN10" i="1"/>
  <c r="BM10" i="1"/>
  <c r="BL10" i="1"/>
  <c r="AN10" i="1"/>
  <c r="BN9" i="1"/>
  <c r="BM9" i="1"/>
  <c r="BL9" i="1"/>
  <c r="BK9" i="1"/>
  <c r="AN9" i="1"/>
  <c r="AN8" i="1"/>
  <c r="AN7" i="1"/>
  <c r="BP6" i="1"/>
  <c r="AN6" i="1"/>
  <c r="CF5" i="1"/>
  <c r="CB5" i="1"/>
  <c r="BX5" i="1"/>
  <c r="BT5" i="1"/>
  <c r="BP5" i="1"/>
  <c r="BK5" i="1"/>
  <c r="BL5" i="1" s="1"/>
  <c r="BG5" i="1"/>
  <c r="AN5" i="1"/>
  <c r="CF4" i="1"/>
  <c r="CB4" i="1"/>
  <c r="BX4" i="1"/>
  <c r="BT4" i="1"/>
  <c r="BP4" i="1"/>
  <c r="BK4" i="1"/>
  <c r="BL4" i="1" s="1"/>
  <c r="BG4" i="1"/>
  <c r="AN4" i="1"/>
  <c r="CF3" i="1"/>
  <c r="CB3" i="1"/>
  <c r="BX3" i="1"/>
  <c r="BT3" i="1"/>
  <c r="BP3" i="1"/>
  <c r="BK3" i="1"/>
  <c r="BL3" i="1" s="1"/>
  <c r="BG3" i="1"/>
  <c r="AN3" i="1"/>
  <c r="AN2" i="1"/>
  <c r="AL2" i="1" a="1"/>
  <c r="AL2" i="1" s="1"/>
  <c r="AK2" i="1" a="1"/>
  <c r="AK2" i="1" s="1"/>
  <c r="AI2" i="1" a="1"/>
  <c r="AI2" i="1" s="1"/>
  <c r="AH2" i="1"/>
  <c r="AG2" i="1" a="1"/>
  <c r="AG2" i="1" s="1"/>
  <c r="AE2" i="1"/>
  <c r="AD2" i="1" a="1"/>
  <c r="AD2" i="1" s="1"/>
  <c r="AC2" i="1" a="1"/>
  <c r="AC2" i="1" s="1"/>
  <c r="AB2" i="1" a="1"/>
  <c r="AB2" i="1" s="1"/>
  <c r="AA2" i="1" a="1"/>
  <c r="AA2" i="1" s="1"/>
  <c r="Z2" i="1" a="1"/>
  <c r="Z2" i="1" s="1"/>
  <c r="Y2" i="1" a="1"/>
  <c r="Y2" i="1" s="1"/>
  <c r="V2" i="1"/>
  <c r="U2" i="1"/>
  <c r="T2" i="1" a="1"/>
  <c r="T2" i="1" s="1"/>
  <c r="S2" i="1" a="1"/>
  <c r="S2" i="1"/>
  <c r="R2" i="1" a="1"/>
  <c r="R2" i="1" s="1"/>
  <c r="Q2" i="1"/>
  <c r="P2" i="1"/>
  <c r="O2" i="1"/>
  <c r="AJ3" i="1" a="1"/>
  <c r="AJ5" i="1" a="1"/>
  <c r="AJ7" i="1" a="1"/>
  <c r="AJ9" i="1" a="1"/>
  <c r="AJ11" i="1" a="1"/>
  <c r="AJ13" i="1" a="1"/>
  <c r="AJ15" i="1" a="1"/>
  <c r="AJ17" i="1" a="1"/>
  <c r="AJ19" i="1" a="1"/>
  <c r="AJ21" i="1" a="1"/>
  <c r="AJ4" i="1" a="1"/>
  <c r="AJ6" i="1" a="1"/>
  <c r="AJ8" i="1" a="1"/>
  <c r="AJ10" i="1" a="1"/>
  <c r="AJ12" i="1" a="1"/>
  <c r="AJ14" i="1" a="1"/>
  <c r="AJ16" i="1" a="1"/>
  <c r="AJ18" i="1" a="1"/>
  <c r="AJ20" i="1" a="1"/>
  <c r="X3" i="1" a="1"/>
  <c r="X5" i="1" a="1"/>
  <c r="X7" i="1" a="1"/>
  <c r="X9" i="1" a="1"/>
  <c r="X11" i="1" a="1"/>
  <c r="X17" i="1" a="1"/>
  <c r="X19" i="1" a="1"/>
  <c r="X21" i="1" a="1"/>
  <c r="X23" i="1" a="1"/>
  <c r="X25" i="1" a="1"/>
  <c r="X27" i="1" a="1"/>
  <c r="X29" i="1" a="1"/>
  <c r="X4" i="1" a="1"/>
  <c r="X6" i="1" a="1"/>
  <c r="X8" i="1" a="1"/>
  <c r="X10" i="1" a="1"/>
  <c r="X12" i="1" a="1"/>
  <c r="X16" i="1" a="1"/>
  <c r="X18" i="1" a="1"/>
  <c r="X20" i="1" a="1"/>
  <c r="X22" i="1" a="1"/>
  <c r="X24" i="1" a="1"/>
  <c r="X26" i="1" a="1"/>
  <c r="X28" i="1" a="1"/>
  <c r="X30" i="1" a="1"/>
  <c r="AY41" i="1"/>
  <c r="AZ40" i="1"/>
  <c r="AZ39" i="1"/>
  <c r="AZ38" i="1"/>
  <c r="BA37" i="1"/>
  <c r="AY36" i="1"/>
  <c r="BA35" i="1"/>
  <c r="AS34" i="1"/>
  <c r="AO34" i="1"/>
  <c r="AY33" i="1"/>
  <c r="BA32" i="1"/>
  <c r="AZ31" i="1"/>
  <c r="BA30" i="1"/>
  <c r="AZ29" i="1"/>
  <c r="BA28" i="1"/>
  <c r="AS27" i="1"/>
  <c r="AO27" i="1"/>
  <c r="BA26" i="1"/>
  <c r="AZ25" i="1"/>
  <c r="BA24" i="1"/>
  <c r="AY40" i="1"/>
  <c r="AY39" i="1"/>
  <c r="AY38" i="1"/>
  <c r="AZ37" i="1"/>
  <c r="AS36" i="1"/>
  <c r="AO36" i="1"/>
  <c r="AZ35" i="1"/>
  <c r="BA34" i="1"/>
  <c r="AS33" i="1"/>
  <c r="AO33" i="1"/>
  <c r="AZ32" i="1"/>
  <c r="AY31" i="1"/>
  <c r="AZ30" i="1"/>
  <c r="AY29" i="1"/>
  <c r="AZ28" i="1"/>
  <c r="BA27" i="1"/>
  <c r="AZ26" i="1"/>
  <c r="AS39" i="1"/>
  <c r="BA38" i="1"/>
  <c r="AY37" i="1"/>
  <c r="BA36" i="1"/>
  <c r="AO35" i="1"/>
  <c r="AZ34" i="1"/>
  <c r="AY32" i="1"/>
  <c r="AS31" i="1"/>
  <c r="AS30" i="1"/>
  <c r="BA29" i="1"/>
  <c r="AY28" i="1"/>
  <c r="AY26" i="1"/>
  <c r="BA25" i="1"/>
  <c r="AS24" i="1"/>
  <c r="AZ23" i="1"/>
  <c r="BA22" i="1"/>
  <c r="AS21" i="1"/>
  <c r="AO21" i="1"/>
  <c r="AZ20" i="1"/>
  <c r="AS19" i="1"/>
  <c r="AO19" i="1"/>
  <c r="AZ18" i="1"/>
  <c r="AS17" i="1"/>
  <c r="AO17" i="1"/>
  <c r="AO40" i="1"/>
  <c r="AS38" i="1"/>
  <c r="AS37" i="1"/>
  <c r="AZ36" i="1"/>
  <c r="AY35" i="1"/>
  <c r="AY34" i="1"/>
  <c r="AS32" i="1"/>
  <c r="AS29" i="1"/>
  <c r="AS28" i="1"/>
  <c r="AS26" i="1"/>
  <c r="AY25" i="1"/>
  <c r="AO25" i="1"/>
  <c r="AY23" i="1"/>
  <c r="AZ22" i="1"/>
  <c r="BA21" i="1"/>
  <c r="AY20" i="1"/>
  <c r="BA19" i="1"/>
  <c r="AY18" i="1"/>
  <c r="BA17" i="1"/>
  <c r="AY16" i="1"/>
  <c r="BA15" i="1"/>
  <c r="AS14" i="1"/>
  <c r="AO14" i="1"/>
  <c r="AY13" i="1"/>
  <c r="AZ12" i="1"/>
  <c r="BA41" i="1"/>
  <c r="BA40" i="1"/>
  <c r="AO39" i="1"/>
  <c r="AS35" i="1"/>
  <c r="BA33" i="1"/>
  <c r="AO31" i="1"/>
  <c r="AO30" i="1"/>
  <c r="AZ27" i="1"/>
  <c r="AS25" i="1"/>
  <c r="AZ24" i="1"/>
  <c r="AS23" i="1"/>
  <c r="AO23" i="1"/>
  <c r="AY22" i="1"/>
  <c r="AZ21" i="1"/>
  <c r="AS20" i="1"/>
  <c r="AO20" i="1"/>
  <c r="AZ19" i="1"/>
  <c r="AS18" i="1"/>
  <c r="AO18" i="1"/>
  <c r="AZ17" i="1"/>
  <c r="AO38" i="1"/>
  <c r="AO37" i="1"/>
  <c r="AO29" i="1"/>
  <c r="AY24" i="1"/>
  <c r="AY21" i="1"/>
  <c r="AY17" i="1"/>
  <c r="AY14" i="1"/>
  <c r="AZ11" i="1"/>
  <c r="BA10" i="1"/>
  <c r="AY9" i="1"/>
  <c r="BA8" i="1"/>
  <c r="AY7" i="1"/>
  <c r="AS6" i="1"/>
  <c r="AO6" i="1"/>
  <c r="AS5" i="1"/>
  <c r="AO5" i="1"/>
  <c r="AS40" i="1"/>
  <c r="AZ33" i="1"/>
  <c r="AO24" i="1"/>
  <c r="BA23" i="1"/>
  <c r="BA20" i="1"/>
  <c r="BA16" i="1"/>
  <c r="AZ15" i="1"/>
  <c r="BA13" i="1"/>
  <c r="BA12" i="1"/>
  <c r="AY11" i="1"/>
  <c r="AZ10" i="1"/>
  <c r="AS9" i="1"/>
  <c r="AO9" i="1"/>
  <c r="AZ8" i="1"/>
  <c r="AS7" i="1"/>
  <c r="AO7" i="1"/>
  <c r="BA6" i="1"/>
  <c r="BA5" i="1"/>
  <c r="BA4" i="1"/>
  <c r="BA3" i="1"/>
  <c r="BA2" i="1"/>
  <c r="AZ41" i="1"/>
  <c r="BA39" i="1"/>
  <c r="AO32" i="1"/>
  <c r="BA31" i="1"/>
  <c r="AY27" i="1"/>
  <c r="AO26" i="1"/>
  <c r="AS22" i="1"/>
  <c r="AZ16" i="1"/>
  <c r="AO16" i="1"/>
  <c r="AY15" i="1"/>
  <c r="AO15" i="1"/>
  <c r="BA14" i="1"/>
  <c r="AZ13" i="1"/>
  <c r="AO13" i="1"/>
  <c r="AY12" i="1"/>
  <c r="AO12" i="1"/>
  <c r="AS11" i="1"/>
  <c r="AO11" i="1"/>
  <c r="AY10" i="1"/>
  <c r="BA9" i="1"/>
  <c r="AY8" i="1"/>
  <c r="BA7" i="1"/>
  <c r="AZ6" i="1"/>
  <c r="AZ5" i="1"/>
  <c r="AZ4" i="1"/>
  <c r="AZ3" i="1"/>
  <c r="AZ2" i="1"/>
  <c r="AZ7" i="1"/>
  <c r="AY5" i="1"/>
  <c r="AS4" i="1"/>
  <c r="AS3" i="1"/>
  <c r="AY2" i="1"/>
  <c r="AJ2" i="1" a="1"/>
  <c r="AO2" i="1"/>
  <c r="AO28" i="1"/>
  <c r="AY19" i="1"/>
  <c r="BA18" i="1"/>
  <c r="AS12" i="1"/>
  <c r="AS10" i="1"/>
  <c r="AZ9" i="1"/>
  <c r="AS8" i="1"/>
  <c r="AY6" i="1"/>
  <c r="AS2" i="1"/>
  <c r="X2" i="1" a="1"/>
  <c r="AO4" i="1"/>
  <c r="AY30" i="1"/>
  <c r="AO22" i="1"/>
  <c r="AS15" i="1"/>
  <c r="AY4" i="1"/>
  <c r="AY3" i="1"/>
  <c r="AS16" i="1"/>
  <c r="AZ14" i="1"/>
  <c r="BA11" i="1"/>
  <c r="AO10" i="1"/>
  <c r="AO8" i="1"/>
  <c r="AO3" i="1"/>
  <c r="AS13" i="1"/>
  <c r="AJ20" i="1" l="1"/>
  <c r="AJ18" i="1"/>
  <c r="AJ16" i="1"/>
  <c r="AJ14" i="1"/>
  <c r="AJ12" i="1"/>
  <c r="AJ10" i="1"/>
  <c r="AJ8" i="1"/>
  <c r="AJ6" i="1"/>
  <c r="AJ4" i="1"/>
  <c r="AJ21" i="1"/>
  <c r="AJ19" i="1"/>
  <c r="AJ17" i="1"/>
  <c r="AJ15" i="1"/>
  <c r="AJ13" i="1"/>
  <c r="AJ11" i="1"/>
  <c r="AJ9" i="1"/>
  <c r="AJ7" i="1"/>
  <c r="AJ5" i="1"/>
  <c r="AJ3" i="1"/>
  <c r="X30" i="1"/>
  <c r="X28" i="1"/>
  <c r="X26" i="1"/>
  <c r="X24" i="1"/>
  <c r="X22" i="1"/>
  <c r="X20" i="1"/>
  <c r="X18" i="1"/>
  <c r="X16" i="1"/>
  <c r="X12" i="1"/>
  <c r="X10" i="1"/>
  <c r="X8" i="1"/>
  <c r="X6" i="1"/>
  <c r="X4" i="1"/>
  <c r="X29" i="1"/>
  <c r="X27" i="1"/>
  <c r="X25" i="1"/>
  <c r="X23" i="1"/>
  <c r="X21" i="1"/>
  <c r="X19" i="1"/>
  <c r="X17" i="1"/>
  <c r="X11" i="1"/>
  <c r="X9" i="1"/>
  <c r="X7" i="1"/>
  <c r="X5" i="1"/>
  <c r="X3" i="1"/>
  <c r="BP51" i="1"/>
  <c r="BN52" i="1"/>
  <c r="BN57" i="1"/>
  <c r="BQ51" i="1"/>
  <c r="BS57" i="1"/>
  <c r="BQ55" i="1"/>
  <c r="BV52" i="1"/>
  <c r="BO53" i="1"/>
  <c r="BT53" i="1"/>
  <c r="BO54" i="1"/>
  <c r="BV56" i="1"/>
  <c r="BO57" i="1"/>
  <c r="BT57" i="1"/>
  <c r="BO58" i="1"/>
  <c r="BP53" i="1"/>
  <c r="BV53" i="1"/>
  <c r="BP54" i="1"/>
  <c r="BP57" i="1"/>
  <c r="BV57" i="1"/>
  <c r="BP58" i="1"/>
  <c r="BR53" i="1"/>
  <c r="BS54" i="1"/>
  <c r="BR57" i="1"/>
  <c r="BS58" i="1"/>
  <c r="BT54" i="1"/>
  <c r="BT58" i="1"/>
  <c r="X2" i="1"/>
  <c r="AJ2" i="1"/>
  <c r="BS51" i="1"/>
  <c r="BO51" i="1"/>
  <c r="BV51" i="1"/>
  <c r="BR51" i="1"/>
  <c r="BN51" i="1"/>
  <c r="BU51" i="1"/>
  <c r="BQ52" i="1"/>
  <c r="BS55" i="1"/>
  <c r="BO55" i="1"/>
  <c r="BV55" i="1"/>
  <c r="BR55" i="1"/>
  <c r="BN55" i="1"/>
  <c r="BU55" i="1"/>
  <c r="BQ56" i="1"/>
  <c r="BT52" i="1"/>
  <c r="BP52" i="1"/>
  <c r="BS52" i="1"/>
  <c r="BO52" i="1"/>
  <c r="BU52" i="1"/>
  <c r="BT56" i="1"/>
  <c r="BP56" i="1"/>
  <c r="BS56" i="1"/>
  <c r="BO56" i="1"/>
  <c r="BU56" i="1"/>
  <c r="BQ54" i="1"/>
  <c r="BU54" i="1"/>
  <c r="BQ58" i="1"/>
  <c r="BU58" i="1"/>
  <c r="BQ53" i="1"/>
  <c r="BN54" i="1"/>
  <c r="BR54" i="1"/>
  <c r="BQ57" i="1"/>
  <c r="BN58" i="1"/>
  <c r="BR58" i="1"/>
  <c r="AR13" i="1"/>
  <c r="AR10" i="1"/>
  <c r="AR3" i="1"/>
  <c r="AR11" i="1"/>
  <c r="AR5" i="1"/>
  <c r="AR2" i="1"/>
  <c r="AR12" i="1"/>
  <c r="AR4" i="1"/>
  <c r="AR40" i="1"/>
  <c r="AR35" i="1"/>
  <c r="AR14" i="1"/>
  <c r="AR26" i="1"/>
  <c r="AR37" i="1"/>
  <c r="AR17" i="1"/>
  <c r="AR19" i="1"/>
  <c r="AR21" i="1"/>
  <c r="AR31" i="1"/>
  <c r="AR36" i="1"/>
  <c r="AR34" i="1"/>
  <c r="AR32" i="1"/>
  <c r="AR16" i="1"/>
  <c r="AR18" i="1"/>
  <c r="AR20" i="1"/>
  <c r="AR28" i="1"/>
  <c r="AR38" i="1"/>
  <c r="AR24" i="1"/>
  <c r="AR30" i="1"/>
  <c r="AR15" i="1"/>
  <c r="AR8" i="1"/>
  <c r="AR22" i="1"/>
  <c r="AR7" i="1"/>
  <c r="AR9" i="1"/>
  <c r="AR6" i="1"/>
  <c r="AR23" i="1"/>
  <c r="AR29" i="1"/>
  <c r="AR39" i="1"/>
  <c r="AR33" i="1"/>
  <c r="AR27" i="1"/>
  <c r="AR25" i="1"/>
  <c r="AQ25" i="1" l="1"/>
  <c r="AQ29" i="1"/>
  <c r="AQ7" i="1"/>
  <c r="AQ20" i="1"/>
  <c r="AQ19" i="1"/>
  <c r="AQ12" i="1"/>
  <c r="AQ27" i="1"/>
  <c r="AQ23" i="1"/>
  <c r="AQ22" i="1"/>
  <c r="AQ24" i="1"/>
  <c r="AQ18" i="1"/>
  <c r="AQ36" i="1"/>
  <c r="AQ17" i="1"/>
  <c r="AQ35" i="1"/>
  <c r="AQ10" i="1"/>
  <c r="AQ33" i="1"/>
  <c r="AQ6" i="1"/>
  <c r="AQ8" i="1"/>
  <c r="AQ38" i="1"/>
  <c r="AQ16" i="1"/>
  <c r="AQ31" i="1"/>
  <c r="AQ37" i="1"/>
  <c r="AQ40" i="1"/>
  <c r="AQ5" i="1"/>
  <c r="AQ13" i="1"/>
  <c r="AQ34" i="1"/>
  <c r="AQ3" i="1"/>
  <c r="AQ39" i="1"/>
  <c r="AQ9" i="1"/>
  <c r="AQ15" i="1"/>
  <c r="AQ28" i="1"/>
  <c r="AQ32" i="1"/>
  <c r="AQ21" i="1"/>
  <c r="AQ26" i="1"/>
  <c r="AQ4" i="1"/>
  <c r="AQ11" i="1"/>
  <c r="AQ30" i="1"/>
  <c r="AQ14" i="1"/>
  <c r="AQ2" i="1"/>
  <c r="AP2" i="1" l="1"/>
  <c r="AF2" i="1" s="1" a="1"/>
  <c r="AP28" i="1"/>
  <c r="AF28" i="1" s="1" a="1"/>
  <c r="AP40" i="1"/>
  <c r="AF40" i="1" s="1" a="1"/>
  <c r="AP18" i="1"/>
  <c r="AF18" i="1" s="1" a="1"/>
  <c r="AP12" i="1"/>
  <c r="AF12" i="1" s="1" a="1"/>
  <c r="AP14" i="1"/>
  <c r="AF14" i="1" s="1" a="1"/>
  <c r="AP26" i="1"/>
  <c r="AF26" i="1" s="1" a="1"/>
  <c r="AP15" i="1"/>
  <c r="AF15" i="1" s="1" a="1"/>
  <c r="AP34" i="1"/>
  <c r="AF34" i="1" s="1" a="1"/>
  <c r="AP37" i="1"/>
  <c r="AF37" i="1" s="1" a="1"/>
  <c r="AP8" i="1"/>
  <c r="AF8" i="1" s="1" a="1"/>
  <c r="AP35" i="1"/>
  <c r="AF35" i="1" s="1" a="1"/>
  <c r="AP29" i="1"/>
  <c r="AF29" i="1" s="1" a="1"/>
  <c r="AP30" i="1"/>
  <c r="AF30" i="1" s="1" a="1"/>
  <c r="AP21" i="1"/>
  <c r="AF21" i="1" s="1" a="1"/>
  <c r="AP9" i="1"/>
  <c r="AF9" i="1" s="1" a="1"/>
  <c r="AP13" i="1"/>
  <c r="AF13" i="1" s="1" a="1"/>
  <c r="AP31" i="1"/>
  <c r="AF31" i="1" s="1" a="1"/>
  <c r="AP6" i="1"/>
  <c r="AF6" i="1" s="1" a="1"/>
  <c r="AP17" i="1"/>
  <c r="AF17" i="1" s="1" a="1"/>
  <c r="AP22" i="1"/>
  <c r="AF22" i="1" s="1" a="1"/>
  <c r="AP19" i="1"/>
  <c r="AF19" i="1" s="1" a="1"/>
  <c r="AP25" i="1"/>
  <c r="AF25" i="1" s="1" a="1"/>
  <c r="AP10" i="1"/>
  <c r="AF10" i="1" s="1" a="1"/>
  <c r="AP7" i="1"/>
  <c r="AF7" i="1" s="1" a="1"/>
  <c r="AP11" i="1"/>
  <c r="AF11" i="1" s="1" a="1"/>
  <c r="AP32" i="1"/>
  <c r="AF32" i="1" s="1" a="1"/>
  <c r="AP39" i="1"/>
  <c r="AF39" i="1" s="1" a="1"/>
  <c r="AP5" i="1"/>
  <c r="AF5" i="1" s="1" a="1"/>
  <c r="AP16" i="1"/>
  <c r="AF16" i="1" s="1" a="1"/>
  <c r="AP33" i="1"/>
  <c r="AF33" i="1" s="1" a="1"/>
  <c r="AP36" i="1"/>
  <c r="AF36" i="1" s="1" a="1"/>
  <c r="AP23" i="1"/>
  <c r="AF23" i="1" s="1" a="1"/>
  <c r="AP20" i="1"/>
  <c r="AF20" i="1" s="1" a="1"/>
  <c r="AP4" i="1"/>
  <c r="AF4" i="1" s="1" a="1"/>
  <c r="AP3" i="1"/>
  <c r="AF3" i="1" s="1" a="1"/>
  <c r="AP38" i="1"/>
  <c r="AF38" i="1" s="1" a="1"/>
  <c r="AP27" i="1"/>
  <c r="AF27" i="1" s="1" a="1"/>
  <c r="AP24" i="1"/>
  <c r="AF24" i="1" s="1" a="1"/>
  <c r="AF24" i="1" l="1"/>
  <c r="AF27" i="1"/>
  <c r="AF38" i="1"/>
  <c r="AF3" i="1"/>
  <c r="AF4" i="1"/>
  <c r="AF20" i="1"/>
  <c r="AF23" i="1"/>
  <c r="AF36" i="1"/>
  <c r="AF33" i="1"/>
  <c r="AF16" i="1"/>
  <c r="AF5" i="1"/>
  <c r="AF39" i="1"/>
  <c r="AF32" i="1"/>
  <c r="AF11" i="1"/>
  <c r="AF7" i="1"/>
  <c r="AF10" i="1"/>
  <c r="AF25" i="1"/>
  <c r="AF19" i="1"/>
  <c r="AF22" i="1"/>
  <c r="AF17" i="1"/>
  <c r="AF6" i="1"/>
  <c r="AF31" i="1"/>
  <c r="AF13" i="1"/>
  <c r="AF9" i="1"/>
  <c r="AF21" i="1"/>
  <c r="AF30" i="1"/>
  <c r="AF29" i="1"/>
  <c r="AF35" i="1"/>
  <c r="AF8" i="1"/>
  <c r="AF37" i="1"/>
  <c r="AF34" i="1"/>
  <c r="AF15" i="1"/>
  <c r="AF26" i="1"/>
  <c r="AF14" i="1"/>
  <c r="AF12" i="1"/>
  <c r="AF18" i="1"/>
  <c r="AF40" i="1"/>
  <c r="AF28" i="1"/>
  <c r="AF2" i="1"/>
</calcChain>
</file>

<file path=xl/sharedStrings.xml><?xml version="1.0" encoding="utf-8"?>
<sst xmlns="http://schemas.openxmlformats.org/spreadsheetml/2006/main" count="617" uniqueCount="196">
  <si>
    <t>Artist Name</t>
  </si>
  <si>
    <t>Song Title</t>
  </si>
  <si>
    <t>Country</t>
  </si>
  <si>
    <t>Release Date</t>
  </si>
  <si>
    <t>Release Date (Formatted)</t>
  </si>
  <si>
    <t>UPC</t>
  </si>
  <si>
    <t>ISRC</t>
  </si>
  <si>
    <t>Genre</t>
  </si>
  <si>
    <t>Minute</t>
  </si>
  <si>
    <t>Seconds</t>
  </si>
  <si>
    <t>URL Link</t>
  </si>
  <si>
    <t>Label Name</t>
  </si>
  <si>
    <t>Priority</t>
  </si>
  <si>
    <t>Radio/Extended</t>
  </si>
  <si>
    <t>Deezer Germany</t>
  </si>
  <si>
    <t>Deezer Label</t>
  </si>
  <si>
    <t>Filtr</t>
  </si>
  <si>
    <t>Spotify</t>
  </si>
  <si>
    <t>Amazon</t>
  </si>
  <si>
    <t>formula1</t>
  </si>
  <si>
    <t>Artist1</t>
  </si>
  <si>
    <t>Artist2</t>
  </si>
  <si>
    <t>Artist3</t>
  </si>
  <si>
    <t>Artist4</t>
  </si>
  <si>
    <t>Artist5</t>
  </si>
  <si>
    <t>Artist count</t>
  </si>
  <si>
    <t>Text</t>
  </si>
  <si>
    <t>presentation</t>
  </si>
  <si>
    <t>Type based on genre</t>
  </si>
  <si>
    <t>Label</t>
  </si>
  <si>
    <t>Olly Gi</t>
  </si>
  <si>
    <t>Safe And Sound</t>
  </si>
  <si>
    <t>Germany</t>
  </si>
  <si>
    <t>November 18th, 2022</t>
  </si>
  <si>
    <t>18.11.2022</t>
  </si>
  <si>
    <t xml:space="preserve">
GX8KD2234357
</t>
  </si>
  <si>
    <t>Deep House</t>
  </si>
  <si>
    <t>2</t>
  </si>
  <si>
    <t>40</t>
  </si>
  <si>
    <t>https://soundcloud.com/daydoseofhouse/olly-gi-vinetum-safe-and-sound/s-apefNT3XMWt?si=a1d0b6f06d47400c8e42ad3e21ed9b5e&amp;utm_source=clipboard&amp;utm_medium=text&amp;utm_campaign=social_sharing</t>
  </si>
  <si>
    <t>Day Dose Of House</t>
  </si>
  <si>
    <t>is back to deliver this energetic tune called ''''! Song would perfectly fit in any dance mood playlist! Label will invest up to 5000 EUR advertising on facebook and instagram ads aswell as promoting it over label and label partners playlists, radio stations and press.</t>
  </si>
  <si>
    <t xml:space="preserve"> </t>
  </si>
  <si>
    <t>Location</t>
  </si>
  <si>
    <t>Rand</t>
  </si>
  <si>
    <t>Colonna1</t>
  </si>
  <si>
    <t xml:space="preserve"> Vinetum</t>
  </si>
  <si>
    <t>teamed up with Second to deliver this energetic tune called ''''! Song would perfectly fit in any dance mood playlist! Label will invest up to 5000 EUR advertising on facebook and instagram ads aswell as promoting it over label and label partners playlists, radio stations and press.</t>
  </si>
  <si>
    <t>Tokyo, Tokyo, Japan</t>
  </si>
  <si>
    <t>Paris, Île-de-France Region, France</t>
  </si>
  <si>
    <t>Tech House</t>
  </si>
  <si>
    <t>Ankara, Ankara, Turkey</t>
  </si>
  <si>
    <t>Piano House</t>
  </si>
  <si>
    <t>Oslo, Oslo, Norway</t>
  </si>
  <si>
    <t>Indie/Chill Dance</t>
  </si>
  <si>
    <t>Salvador, Estado de Bahia, Brazil</t>
  </si>
  <si>
    <t>Slap House</t>
  </si>
  <si>
    <t>Goiânia, Goiás, Brazil</t>
  </si>
  <si>
    <t>Brazilian Bass</t>
  </si>
  <si>
    <t>EDM</t>
  </si>
  <si>
    <t>Black Winter &amp; Primary Disguise</t>
  </si>
  <si>
    <t>Far Away</t>
  </si>
  <si>
    <t>Turkey</t>
  </si>
  <si>
    <t>November 11th, 2022</t>
  </si>
  <si>
    <t>11.11.2022</t>
  </si>
  <si>
    <t xml:space="preserve">GX89G2250072
</t>
  </si>
  <si>
    <t>07</t>
  </si>
  <si>
    <t>https://soundcloud.com/daydoseofhouse/black-winter-primary-disguise-far-away/s-eBfupIEywtN?si=3a913c68549e4cecafa2d6aa64c2fabc&amp;utm_source=clipboard&amp;utm_medium=text&amp;utm_campaign=social_sharing</t>
  </si>
  <si>
    <t>Radio</t>
  </si>
  <si>
    <t>teamed up with Second and Third to deliver this energetic tune called ''''! Song would perfectly fit in any dance mood playlist! Label will invest up to 5000 EUR advertising on facebook and instagram ads aswell as promoting it over label and label partners playlists, radio stations and press.</t>
  </si>
  <si>
    <t>Warsaw, Masovian, Poland</t>
  </si>
  <si>
    <t>Berlin, Berlin, Germany</t>
  </si>
  <si>
    <t>Helsinki, Uusimaa, Finland</t>
  </si>
  <si>
    <t>Bern, Canton of Bern, Switzerland</t>
  </si>
  <si>
    <t>Buenos Aires, Buenos Aires F.D., Argentina</t>
  </si>
  <si>
    <t>Stone Forte</t>
  </si>
  <si>
    <t>Smoking Me Out</t>
  </si>
  <si>
    <t>UK</t>
  </si>
  <si>
    <t>November 4th, 2022</t>
  </si>
  <si>
    <t>04.11.2022</t>
  </si>
  <si>
    <t xml:space="preserve">GX89G2249952
</t>
  </si>
  <si>
    <t>3</t>
  </si>
  <si>
    <t>34</t>
  </si>
  <si>
    <t>https://soundcloud.com/daydoseofhouse/stone-forte-smoking-me-out/s-6bbWo2i9SHr?si=5726cc978c394c7b9c4253dd7ace281a&amp;utm_source=clipboard&amp;utm_medium=text&amp;utm_campaign=social_sharing</t>
  </si>
  <si>
    <t>teamed up with Second , Third and Forth to deliver this energetic tune called ''''! Song would perfectly fit in any dance mood playlist! Label will invest up to 5000 EUR advertising on facebook and instagram ads aswell as promoting it over label and label partners playlists, radio stations and press.</t>
  </si>
  <si>
    <t>Stockholm, Stockholm County, Sweden</t>
  </si>
  <si>
    <t>Mexico City, Mexico City, Mexico</t>
  </si>
  <si>
    <t>Ottawa, Ontario, Canada</t>
  </si>
  <si>
    <t>Amsterdam, North Holland, Netherlands</t>
  </si>
  <si>
    <t>Cubfonic</t>
  </si>
  <si>
    <t>Feels</t>
  </si>
  <si>
    <t>Latvia</t>
  </si>
  <si>
    <t xml:space="preserve">GX8KD2236164
</t>
  </si>
  <si>
    <t>22</t>
  </si>
  <si>
    <t>https://soundcloud.com/daydoseofhouse/cubfonic-feels/s-Vicx2XFaDAc?si=8d630249586a462dae158070d808ae86&amp;utm_source=clipboard&amp;utm_medium=text&amp;utm_campaign=social_sharing</t>
  </si>
  <si>
    <t>teamed up with Second, Third, Forth, and Fifth to deliver this energetic tune called ''''! Song would perfectly fit in any dance mood playlist! Label will invest up to 5000 EUR advertising on facebook and instagram ads aswell as promoting it over label and label partners playlists, radio stations and press.</t>
  </si>
  <si>
    <t>Brussels, Brussels Capital, Belgium</t>
  </si>
  <si>
    <t>Franko Keys, Lofi Hendrick, Fifty Gram</t>
  </si>
  <si>
    <t>Last Airbender</t>
  </si>
  <si>
    <t>May 6th, 2022</t>
  </si>
  <si>
    <t>06.05.2022</t>
  </si>
  <si>
    <t xml:space="preserve">GX4R52240573
</t>
  </si>
  <si>
    <t>26</t>
  </si>
  <si>
    <t>https://soundcloud.com/floatingbluerecords/franko-keys-lofi-hendrick-fifty-gram-last-airbender/s-91fI3fmUVrH?si=c44ca3885fd6476fb4236e0e42300413&amp;utm_source=clipboard&amp;utm_medium=text&amp;utm_campaign=social_sharing</t>
  </si>
  <si>
    <t>Floating Blue Records</t>
  </si>
  <si>
    <t>Jerry Of Everything, Lo</t>
  </si>
  <si>
    <t>Fi Music Rudolph, Floating Blue</t>
  </si>
  <si>
    <t>April 1st, 2022</t>
  </si>
  <si>
    <t>01.04.2022</t>
  </si>
  <si>
    <t xml:space="preserve">GX3HH2278617
</t>
  </si>
  <si>
    <t>09</t>
  </si>
  <si>
    <t>https://soundcloud.com/floatingbluerecords/jerry-of-everything-lo-fi-music-rudolph-floating-blue-physics/s-mgJrfBaWPFR?si=32b87e00a8754b7aa40cdf0311d8bc72&amp;utm_source=clipboard&amp;utm_medium=text&amp;utm_campaign=social_sharing</t>
  </si>
  <si>
    <t>rand</t>
  </si>
  <si>
    <t>location</t>
  </si>
  <si>
    <t>1* rand</t>
  </si>
  <si>
    <t>min</t>
  </si>
  <si>
    <t>MIN+1</t>
  </si>
  <si>
    <t>MIN+2</t>
  </si>
  <si>
    <t>Jerry Of Everything</t>
  </si>
  <si>
    <t>Physics</t>
  </si>
  <si>
    <t>https://soundcloud.com/floatingbluerecords/jerry-of-everything-lo-fi-music-rudolph-floating-blue-physics/s-mgJrfBaWPFR?si=775748fa9cea406793f9d80512b2f8c3&amp;utm_source=clipboard&amp;utm_medium=text&amp;utm_campaign=social_sharing</t>
  </si>
  <si>
    <t>deep[rand]</t>
  </si>
  <si>
    <t>deep[location]</t>
  </si>
  <si>
    <t xml:space="preserve"> Lo - Fi Music Rudolph</t>
  </si>
  <si>
    <t>teamed up with Second, Third and Forth to deliver this energetic tune called ''''! Song would perfectly fit in any dance mood playlist! Label will invest up to 5000 EUR advertising on facebook and instagram ads aswell as promoting it over label and label partners playlists, radio stations and press.</t>
  </si>
  <si>
    <t>tech[rand]</t>
  </si>
  <si>
    <t>tech[location]</t>
  </si>
  <si>
    <t>tech[@Rand]</t>
  </si>
  <si>
    <t xml:space="preserve"> Floating Blue</t>
  </si>
  <si>
    <t>piano[rand]</t>
  </si>
  <si>
    <t>piano[location]</t>
  </si>
  <si>
    <t>Jerry Of Everything, Lo - Fi Music Rudolph, Floating Blue</t>
  </si>
  <si>
    <t>indie[rand]</t>
  </si>
  <si>
    <t>indie[location]</t>
  </si>
  <si>
    <t>Flashback</t>
  </si>
  <si>
    <t>November 25th, 2022</t>
  </si>
  <si>
    <t>25.11.2022</t>
  </si>
  <si>
    <t xml:space="preserve">GX8KD2285093
</t>
  </si>
  <si>
    <t>Lo-Fi</t>
  </si>
  <si>
    <t>01</t>
  </si>
  <si>
    <t>https://soundcloud.com/floatingbluerecords/aesthetic-lofi-morning-dan-lo-fi-music-rudolph-flashback/s-bsCwKyakyPD?si=29850d580ec547a3a1ea085c12f4c32b&amp;utm\_source=clipboard&amp;utm\_medium=text&amp;utm\_campaign=social\_sharing</t>
  </si>
  <si>
    <t>slap[rand]</t>
  </si>
  <si>
    <t>slap[location]</t>
  </si>
  <si>
    <t>brazilian[rand]</t>
  </si>
  <si>
    <t>brazilian[location]</t>
  </si>
  <si>
    <t>edm[rand]</t>
  </si>
  <si>
    <t>edm[location]</t>
  </si>
  <si>
    <t>is back to deliver this indie/chill tune called ''''! Song would perfectly fit in any indie/chill mood playlist! Label will invest up to 5000 EUR advertising on facebook and instagram ads aswell as promoting it over label and label partners playlists, radio stations and press.</t>
  </si>
  <si>
    <t>teamed up with Second to deliver this indie/chill tune called ''''! Song would perfectly fit in any indie/chill mood playlist! Label will invest up to 5000 EUR advertising on facebook and instagram ads aswell as promoting it over label and label partners playlists, radio stations and press.</t>
  </si>
  <si>
    <t>teamed up with Second and Third to deliver this indie/chill tune called ''''! Song would perfectly fit in any indie/chill mood playlist! Label will invest up to 5000 EUR advertising on facebook and instagram ads aswell as promoting it over label and label partners playlists, radio stations and press.</t>
  </si>
  <si>
    <t>teamed up with Second, Third and Forth to deliver this indie/chill tune called ''''! Song would perfectly fit in any indie/chill mood playlist! Label will invest up to 5000 EUR advertising on facebook and instagram ads aswell as promoting it over label and label partners playlists, radio stations and press.</t>
  </si>
  <si>
    <t>teamed up with Second, Third, Forth, and Fifth to deliver this indie/chill tune called ''''! Song would perfectly fit in any indie/chill mood playlist! Label will invest up to 5000 EUR advertising on facebook and instagram ads aswell as promoting it over label and label partners playlists, radio stations and press.</t>
  </si>
  <si>
    <t>**United Kingdom**</t>
  </si>
  <si>
    <t>is back to deliver this Lo-Fi tune called ''''! Song would perfectly fit in any Lo-Fi mood playlist! Label will invest up to 5000 EUR advertising on facebook and instagram ads aswell as promoting it over label and label partners playlists, radio stations and press.</t>
  </si>
  <si>
    <t>**Germany**</t>
  </si>
  <si>
    <t>teamed up with Second to deliver this Lo-Fi tune called ''''! Song would perfectly fit in any Lo-Fi mood playlist! Label will invest up to 5000 EUR advertising on facebook and instagram ads aswell as promoting it over label and label partners playlists, radio stations and press.</t>
  </si>
  <si>
    <t>**France**</t>
  </si>
  <si>
    <t>teamed up with Second and Third to deliver this Lo-Fi tune called ''''! Song would perfectly fit in any Lo-Fi mood playlist! Label will invest up to 5000 EUR advertising on facebook and instagram ads aswell as promoting it over label and label partners playlists, radio stations and press.</t>
  </si>
  <si>
    <t>**Brasil**</t>
  </si>
  <si>
    <t>teamed up with Second, Third and Forth to deliver this Lo-Fi tune called ''''! Song would perfectly fit in any Lo-Fi mood playlist! Label will invest up to 5000 EUR advertising on facebook and instagram ads aswell as promoting it over label and label partners playlists, radio stations and press.</t>
  </si>
  <si>
    <t>**Mexico**</t>
  </si>
  <si>
    <t>teamed up with Second, Third, Forth, and Fifth to deliver this Lo-Fi tune called ''''! Song would perfectly fit in any Lo-Fi mood playlist! Label will invest up to 5000 EUR advertising on facebook and instagram ads aswell as promoting it over label and label partners playlists, radio stations and press.</t>
  </si>
  <si>
    <t>**Italy**</t>
  </si>
  <si>
    <t>**Spain**</t>
  </si>
  <si>
    <t>**Australia**</t>
  </si>
  <si>
    <t>**Colombia**</t>
  </si>
  <si>
    <t>**Chile**</t>
  </si>
  <si>
    <t>**Japan**</t>
  </si>
  <si>
    <t>teamed up with Second, Third, Forth, and Fifthto deliver this energetic tune called ''''! Song would perfectly fit in any dance mood playlist! Label will invest up to 5000 EUR advertising on facebook and instagram ads aswell as promoting it over label and label partners playlists, radio stations and press.</t>
  </si>
  <si>
    <t>country</t>
  </si>
  <si>
    <t>min+3</t>
  </si>
  <si>
    <t>min+4</t>
  </si>
  <si>
    <t>min+5</t>
  </si>
  <si>
    <t>min+6</t>
  </si>
  <si>
    <t>min+7</t>
  </si>
  <si>
    <t>min+8</t>
  </si>
  <si>
    <t>min+9</t>
  </si>
  <si>
    <t>deep_country[rand]</t>
  </si>
  <si>
    <t>deep_country[country]</t>
  </si>
  <si>
    <t>tech_country[rand]</t>
  </si>
  <si>
    <t>tech_country[country]</t>
  </si>
  <si>
    <t>piano_country[rand]</t>
  </si>
  <si>
    <t>piano_country[country]</t>
  </si>
  <si>
    <t>indie_country[rand]</t>
  </si>
  <si>
    <t>indie_country[country]</t>
  </si>
  <si>
    <t>slap_country[rand]</t>
  </si>
  <si>
    <t>slap_country[country]</t>
  </si>
  <si>
    <t>brazilian_country[rand]</t>
  </si>
  <si>
    <t>brazilian_country[country]</t>
  </si>
  <si>
    <t>lo_fi_country[rand]</t>
  </si>
  <si>
    <t>lo_fi_country[country]</t>
  </si>
  <si>
    <t>edm_country[rand]</t>
  </si>
  <si>
    <t>edm_country[country]</t>
  </si>
  <si>
    <t>Aesthetic Lofi</t>
  </si>
  <si>
    <t xml:space="preserve"> Morning Dan</t>
  </si>
  <si>
    <t xml:space="preserve"> Lo-Fi Music Rudolph</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</si>
</sst>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000000000"/>
  </numFmts>
  <fonts count="4" x14ac:knownFonts="1">
    <font>
      <sz val="11"/>
      <color theme="1"/>
      <name val="Calibri"/>
      <family val="2"/>
      <scheme val="minor"/>
    </font>
    <font>
      <b/>
      <sz val="11"/>
      <name val="Calibri"/>
      <family val="2"/>
    </font>
    <font>
      <sz val="11"/>
      <color rgb="FFFF0000"/>
      <name val="Calibri"/>
      <family val="2"/>
      <scheme val="minor"/>
    </font>
    <font>
      <sz val="11"/>
      <color rgb="FF000000"/>
      <name val="Calibri"/>
      <family val="2"/>
      <scheme val="minor"/>
    </font>
  </fonts>
  <fills count="7">
    <fill>
      <patternFill patternType="none"/>
    </fill>
    <fill>
      <patternFill patternType="gray125"/>
    </fill>
    <fill>
      <patternFill patternType="solid">
        <fgColor theme="3" tint="0.59999389629810485"/>
        <bgColor indexed="64"/>
      </patternFill>
    </fill>
    <fill>
      <patternFill patternType="solid">
        <fgColor theme="5"/>
        <bgColor indexed="64"/>
      </patternFill>
    </fill>
    <fill>
      <patternFill patternType="solid">
        <fgColor theme="6" tint="0.59999389629810485"/>
        <bgColor indexed="64"/>
      </patternFill>
    </fill>
    <fill>
      <patternFill patternType="solid">
        <fgColor rgb="FFFFFF00"/>
        <bgColor indexed="64"/>
      </patternFill>
    </fill>
    <fill>
      <patternFill patternType="solid">
        <fgColor theme="2" tint="-0.249977111117893"/>
        <bgColor indexed="64"/>
      </patternFill>
    </fill>
  </fills>
  <borders count="1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top/>
      <bottom/>
      <diagonal/>
    </border>
    <border>
      <left style="medium">
        <color indexed="64"/>
      </left>
      <right/>
      <top/>
      <bottom/>
      <diagonal/>
    </border>
    <border>
      <left/>
      <right style="medium">
        <color indexed="64"/>
      </right>
      <top/>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diagonal/>
    </border>
    <border>
      <left style="thin">
        <color auto="1"/>
      </left>
      <right/>
      <top style="thin">
        <color auto="1"/>
      </top>
      <bottom/>
      <diagonal/>
    </border>
    <border>
      <left/>
      <right/>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31">
    <xf numFmtId="0" fontId="0" fillId="0" borderId="0" xfId="0"/>
    <xf numFmtId="0" fontId="1" fillId="0" borderId="1" xfId="0" applyFont="1" applyBorder="1" applyAlignment="1">
      <alignment horizontal="center" vertical="top"/>
    </xf>
    <xf numFmtId="0" fontId="1" fillId="0" borderId="2" xfId="0" applyFont="1" applyBorder="1" applyAlignment="1">
      <alignment horizontal="center" vertical="top"/>
    </xf>
    <xf numFmtId="164" fontId="0" fillId="0" borderId="0" xfId="0" applyNumberFormat="1"/>
    <xf numFmtId="0" fontId="0" fillId="0" borderId="4" xfId="0" applyBorder="1"/>
    <xf numFmtId="0" fontId="0" fillId="0" borderId="5" xfId="0" applyBorder="1" applyAlignment="1">
      <alignment vertical="center"/>
    </xf>
    <xf numFmtId="0" fontId="1" fillId="0" borderId="6" xfId="0" applyFont="1" applyBorder="1" applyAlignment="1">
      <alignment horizontal="center" vertical="top"/>
    </xf>
    <xf numFmtId="0" fontId="0" fillId="0" borderId="0" xfId="0" applyAlignment="1">
      <alignment vertical="center"/>
    </xf>
    <xf numFmtId="0" fontId="0" fillId="0" borderId="1" xfId="0" applyBorder="1"/>
    <xf numFmtId="0" fontId="0" fillId="0" borderId="1" xfId="0" applyBorder="1" applyAlignment="1">
      <alignment vertical="center"/>
    </xf>
    <xf numFmtId="0" fontId="0" fillId="0" borderId="1" xfId="0" applyBorder="1" applyAlignment="1">
      <alignment horizontal="center"/>
    </xf>
    <xf numFmtId="0" fontId="0" fillId="0" borderId="7" xfId="0" applyBorder="1"/>
    <xf numFmtId="0" fontId="0" fillId="0" borderId="8" xfId="0" applyBorder="1"/>
    <xf numFmtId="0" fontId="0" fillId="0" borderId="12" xfId="0" applyBorder="1"/>
    <xf numFmtId="0" fontId="0" fillId="0" borderId="6" xfId="0" applyBorder="1" applyAlignment="1">
      <alignment vertical="center"/>
    </xf>
    <xf numFmtId="0" fontId="0" fillId="0" borderId="13" xfId="0" applyBorder="1"/>
    <xf numFmtId="0" fontId="2" fillId="5" borderId="9" xfId="0" applyFont="1" applyFill="1" applyBorder="1" applyAlignment="1">
      <alignment horizontal="center"/>
    </xf>
    <xf numFmtId="0" fontId="2" fillId="5" borderId="10" xfId="0" applyFont="1" applyFill="1" applyBorder="1" applyAlignment="1">
      <alignment horizontal="center"/>
    </xf>
    <xf numFmtId="0" fontId="2" fillId="5" borderId="11" xfId="0" applyFont="1" applyFill="1" applyBorder="1" applyAlignment="1">
      <alignment horizontal="center"/>
    </xf>
    <xf numFmtId="0" fontId="0" fillId="0" borderId="14" xfId="0" applyBorder="1"/>
    <xf numFmtId="0" fontId="2" fillId="0" borderId="0" xfId="0" applyFont="1"/>
    <xf numFmtId="0" fontId="0" fillId="0" borderId="0" xfId="0" applyAlignment="1">
      <alignment horizontal="center"/>
    </xf>
    <xf numFmtId="0" fontId="1" fillId="0" borderId="3" xfId="0" applyFont="1" applyBorder="1" applyAlignment="1">
      <alignment horizontal="center" vertical="top"/>
    </xf>
    <xf numFmtId="0" fontId="1" fillId="3" borderId="16" xfId="0" applyFont="1" applyFill="1" applyBorder="1" applyAlignment="1">
      <alignment vertical="top"/>
    </xf>
    <xf numFmtId="0" fontId="1" fillId="4" borderId="16" xfId="0" applyFont="1" applyFill="1" applyBorder="1" applyAlignment="1">
      <alignment horizontal="center" vertical="top"/>
    </xf>
    <xf numFmtId="0" fontId="0" fillId="0" borderId="0" xfId="0"/>
    <xf numFmtId="0" fontId="1" fillId="2" borderId="15" xfId="0" applyFont="1" applyFill="1" applyBorder="1" applyAlignment="1">
      <alignment horizontal="center" vertical="top"/>
    </xf>
    <xf numFmtId="0" fontId="0" fillId="0" borderId="16" xfId="0" applyBorder="1"/>
    <xf numFmtId="0" fontId="1" fillId="5" borderId="16" xfId="0" applyFont="1" applyFill="1" applyBorder="1" applyAlignment="1">
      <alignment horizontal="center" vertical="top"/>
    </xf>
    <xf numFmtId="0" fontId="0" fillId="6" borderId="17" xfId="0" applyFill="1" applyBorder="1" applyAlignment="1">
      <alignment horizontal="center"/>
    </xf>
    <xf numFmtId="0" fontId="0" fillId="0" borderId="17" xfId="0" applyBorder="1"/>
  </cellXfs>
  <cellStyles count="1">
    <cellStyle name="Normal" xfId="0" builtinId="0"/>
  </cellStyles>
  <dxfs count="4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border outline="0">
        <top style="thin">
          <color auto="1"/>
        </top>
        <bottom style="medium">
          <color indexed="64"/>
        </bottom>
      </border>
    </dxf>
    <dxf>
      <border outline="0">
        <bottom style="thin">
          <color auto="1"/>
        </bottom>
      </border>
    </dxf>
    <dxf>
      <numFmt numFmtId="0" formatCode="General"/>
    </dxf>
    <dxf>
      <numFmt numFmtId="0" formatCode="General"/>
    </dxf>
    <dxf>
      <numFmt numFmtId="0" formatCode="General"/>
    </dxf>
    <dxf>
      <numFmt numFmtId="0" formatCode="General"/>
    </dxf>
    <dxf>
      <border outline="0">
        <top style="thin">
          <color auto="1"/>
        </top>
        <bottom style="medium">
          <color indexed="64"/>
        </bottom>
      </border>
    </dxf>
    <dxf>
      <border outline="0">
        <bottom style="thin">
          <color auto="1"/>
        </bottom>
      </border>
    </dxf>
    <dxf>
      <border outline="0">
        <top style="thin">
          <color auto="1"/>
        </top>
        <bottom style="medium">
          <color indexed="64"/>
        </bottom>
      </border>
    </dxf>
    <dxf>
      <border outline="0">
        <bottom style="thin">
          <color auto="1"/>
        </bottom>
      </border>
    </dxf>
    <dxf>
      <border outline="0">
        <top style="thin">
          <color auto="1"/>
        </top>
        <bottom style="medium">
          <color indexed="64"/>
        </bottom>
      </border>
    </dxf>
    <dxf>
      <border outline="0">
        <bottom style="thin">
          <color auto="1"/>
        </bottom>
      </border>
    </dxf>
    <dxf>
      <alignment horizontal="general" vertical="center"/>
      <border>
        <left/>
        <right style="medium">
          <color indexed="64"/>
        </right>
        <top/>
        <bottom/>
        <vertical/>
        <horizontal/>
      </border>
    </dxf>
    <dxf>
      <alignment horizontal="general" vertical="center"/>
      <border>
        <left/>
        <right style="medium">
          <color indexed="64"/>
        </right>
        <top/>
        <bottom/>
        <vertical/>
        <horizontal/>
      </border>
    </dxf>
    <dxf>
      <border>
        <left style="medium">
          <color indexed="64"/>
        </left>
        <right/>
        <top/>
        <bottom/>
        <vertical/>
        <horizontal/>
      </border>
    </dxf>
    <dxf>
      <border outline="0">
        <top style="thin">
          <color auto="1"/>
        </top>
        <bottom style="medium">
          <color indexed="64"/>
        </bottom>
      </border>
    </dxf>
    <dxf>
      <border outline="0">
        <bottom style="thin">
          <color auto="1"/>
        </bottom>
      </border>
    </dxf>
    <dxf>
      <fill>
        <patternFill patternType="solid">
          <fgColor indexed="64"/>
          <bgColor rgb="FFFFFF00"/>
        </patternFill>
      </fill>
      <alignment horizontal="center" vertical="bottom"/>
      <border outline="0">
        <left style="thin">
          <color auto="1"/>
        </left>
        <right style="thin">
          <color auto="1"/>
        </right>
        <top/>
        <bottom/>
      </border>
    </dxf>
    <dxf>
      <numFmt numFmtId="0" formatCode="General"/>
    </dxf>
    <dxf>
      <border outline="0">
        <top style="thin">
          <color auto="1"/>
        </top>
        <bottom style="medium">
          <color indexed="64"/>
        </bottom>
      </border>
    </dxf>
    <dxf>
      <border outline="0">
        <bottom style="thin">
          <color auto="1"/>
        </bottom>
      </border>
    </dxf>
    <dxf>
      <border outline="0">
        <top style="thin">
          <color auto="1"/>
        </top>
        <bottom style="medium">
          <color indexed="64"/>
        </bottom>
      </border>
    </dxf>
    <dxf>
      <border outline="0">
        <bottom style="thin">
          <color auto="1"/>
        </bottom>
      </border>
    </dxf>
    <dxf>
      <numFmt numFmtId="0" formatCode="General"/>
    </dxf>
    <dxf>
      <numFmt numFmtId="0" formatCode="General"/>
    </dxf>
    <dxf>
      <numFmt numFmtId="0" formatCode="General"/>
    </dxf>
    <dxf>
      <border>
        <left style="thin">
          <color auto="1"/>
        </left>
        <right/>
        <top style="thin">
          <color auto="1"/>
        </top>
        <bottom style="thin">
          <color auto="1"/>
        </bottom>
        <vertical/>
        <horizontal/>
      </border>
    </dxf>
    <dxf>
      <alignment horizontal="general" vertical="center"/>
      <border>
        <left style="thin">
          <color auto="1"/>
        </left>
        <right style="thin">
          <color auto="1"/>
        </right>
        <top style="thin">
          <color auto="1"/>
        </top>
        <bottom style="thin">
          <color auto="1"/>
        </bottom>
        <vertical/>
        <horizontal/>
      </border>
    </dxf>
    <dxf>
      <border>
        <left/>
        <right style="thin">
          <color auto="1"/>
        </right>
        <top style="thin">
          <color auto="1"/>
        </top>
        <bottom style="thin">
          <color auto="1"/>
        </bottom>
        <vertical/>
        <horizontal/>
      </border>
    </dxf>
    <dxf>
      <border outline="0">
        <top style="thin">
          <color auto="1"/>
        </top>
      </border>
    </dxf>
    <dxf>
      <border outline="0">
        <left style="thin">
          <color auto="1"/>
        </left>
        <right style="thin">
          <color auto="1"/>
        </right>
        <top style="thin">
          <color auto="1"/>
        </top>
        <bottom style="thin">
          <color auto="1"/>
        </bottom>
      </border>
    </dxf>
    <dxf>
      <border outline="0">
        <bottom style="thin">
          <color auto="1"/>
        </bottom>
      </border>
    </dxf>
    <dxf>
      <font>
        <strike val="0"/>
        <outline val="0"/>
        <shadow val="0"/>
        <vertAlign val="baseline"/>
        <sz val="11"/>
        <color rgb="FFFF0000"/>
        <name val="Calibri"/>
        <scheme val="minor"/>
      </font>
      <fill>
        <patternFill patternType="solid">
          <fgColor indexed="64"/>
          <bgColor rgb="FFFFFF00"/>
        </patternFill>
      </fill>
      <alignment horizontal="center" vertical="bottom"/>
      <border outline="0">
        <left style="thin">
          <color auto="1"/>
        </left>
        <right style="thin">
          <color auto="1"/>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176893</xdr:colOff>
          <xdr:row>17</xdr:row>
          <xdr:rowOff>180975</xdr:rowOff>
        </xdr:from>
        <xdr:to>
          <xdr:col>5</xdr:col>
          <xdr:colOff>1091293</xdr:colOff>
          <xdr:row>18</xdr:row>
          <xdr:rowOff>180975</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click</a:t>
              </a:r>
            </a:p>
          </xdr:txBody>
        </xdr:sp>
        <xdr:clientData fPrintsWithSheet="0"/>
      </xdr:twoCellAnchor>
    </mc:Choice>
    <mc:Fallback/>
  </mc:AlternateContent>
</xdr:wsDr>
</file>

<file path=xl/tables/table1.xml><?xml version="1.0" encoding="utf-8"?>
<table xmlns="http://schemas.openxmlformats.org/spreadsheetml/2006/main" id="1" name="text_list" displayName="text_list" ref="AV1:BA41" totalsRowShown="0" headerRowDxfId="41" headerRowBorderDxfId="40" tableBorderDxfId="39" totalsRowBorderDxfId="38">
  <autoFilter ref="AV1:BA41"/>
  <tableColumns count="6">
    <tableColumn id="1" name="Artist count" dataDxfId="37"/>
    <tableColumn id="2" name="Genre" dataDxfId="36"/>
    <tableColumn id="3" name="Text" dataDxfId="35"/>
    <tableColumn id="4" name="presentation" dataDxfId="34">
      <calculatedColumnFormula>+_xlfn.TEXTBEFORE(text_list[[#This Row],[Text]],"''''!",,0)</calculatedColumnFormula>
    </tableColumn>
    <tableColumn id="6" name="Type based on genre" dataDxfId="33">
      <calculatedColumnFormula>+_xlfn.TEXTBEFORE(_xlfn.TEXTAFTER(text_list[[#This Row],[Text]],"'''!"),"Label")</calculatedColumnFormula>
    </tableColumn>
    <tableColumn id="7" name="Label" dataDxfId="32">
      <calculatedColumnFormula>+_xlfn.TEXTAFTER(text_list[[#This Row],[Text]],text_list[[#This Row],[Type based on genre]])</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deep" displayName="deep" ref="BE2:BG5" totalsRowShown="0" headerRowBorderDxfId="31" tableBorderDxfId="30">
  <autoFilter ref="BE2:BG5"/>
  <sortState ref="BE3:BG5">
    <sortCondition ref="BG2:BG5"/>
  </sortState>
  <tableColumns count="3">
    <tableColumn id="1" name="Location"/>
    <tableColumn id="2" name="Genre"/>
    <tableColumn id="3" name="Rand">
      <calculatedColumnFormula>+RAND()</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tech" displayName="tech" ref="BI2:BL5" totalsRowShown="0" headerRowBorderDxfId="29" tableBorderDxfId="28">
  <autoFilter ref="BI2:BL5"/>
  <sortState ref="BI3:BK5">
    <sortCondition ref="BK2:BK5"/>
  </sortState>
  <tableColumns count="4">
    <tableColumn id="1" name="Location"/>
    <tableColumn id="2" name="Genre"/>
    <tableColumn id="3" name="Rand">
      <calculatedColumnFormula>+RAND()</calculatedColumnFormula>
    </tableColumn>
    <tableColumn id="4" name="Colonna1" dataDxfId="27">
      <calculatedColumnFormula>+tech[[#This Row],[Rand]]</calculatedColumnFormula>
    </tableColumn>
  </tableColumns>
  <tableStyleInfo name="TableStyleMedium9" showFirstColumn="0" showLastColumn="0" showRowStripes="1" showColumnStripes="0"/>
</table>
</file>

<file path=xl/tables/table4.xml><?xml version="1.0" encoding="utf-8"?>
<table xmlns="http://schemas.openxmlformats.org/spreadsheetml/2006/main" id="4" name="piano" displayName="piano" ref="BN2:BP6" totalsRowShown="0" headerRowDxfId="26" headerRowBorderDxfId="25" tableBorderDxfId="24">
  <autoFilter ref="BN2:BP6"/>
  <sortState ref="BN3:BP6">
    <sortCondition ref="BP2:BP6"/>
  </sortState>
  <tableColumns count="3">
    <tableColumn id="1" name="Location" dataDxfId="23"/>
    <tableColumn id="2" name="Genre" dataDxfId="22"/>
    <tableColumn id="3" name="Rand" dataDxfId="21">
      <calculatedColumnFormula>+RAND()</calculatedColumnFormula>
    </tableColumn>
  </tableColumns>
  <tableStyleInfo name="TableStyleMedium9" showFirstColumn="0" showLastColumn="0" showRowStripes="1" showColumnStripes="0"/>
</table>
</file>

<file path=xl/tables/table5.xml><?xml version="1.0" encoding="utf-8"?>
<table xmlns="http://schemas.openxmlformats.org/spreadsheetml/2006/main" id="5" name="indie" displayName="indie" ref="BR2:BT5" totalsRowShown="0" headerRowBorderDxfId="20" tableBorderDxfId="19">
  <autoFilter ref="BR2:BT5"/>
  <sortState ref="BR3:BT5">
    <sortCondition ref="BT2:BT5"/>
  </sortState>
  <tableColumns count="3">
    <tableColumn id="1" name="Location"/>
    <tableColumn id="2" name="Genre"/>
    <tableColumn id="3" name="Rand">
      <calculatedColumnFormula>+RAND()</calculatedColumnFormula>
    </tableColumn>
  </tableColumns>
  <tableStyleInfo name="TableStyleMedium9" showFirstColumn="0" showLastColumn="0" showRowStripes="1" showColumnStripes="0"/>
</table>
</file>

<file path=xl/tables/table6.xml><?xml version="1.0" encoding="utf-8"?>
<table xmlns="http://schemas.openxmlformats.org/spreadsheetml/2006/main" id="6" name="slap" displayName="slap" ref="BV2:BX5" totalsRowShown="0" headerRowBorderDxfId="18" tableBorderDxfId="17">
  <autoFilter ref="BV2:BX5"/>
  <sortState ref="BV3:BX5">
    <sortCondition ref="BX2:BX5"/>
  </sortState>
  <tableColumns count="3">
    <tableColumn id="1" name="Location"/>
    <tableColumn id="2" name="Genre"/>
    <tableColumn id="3" name="Rand">
      <calculatedColumnFormula>+RAND()</calculatedColumnFormula>
    </tableColumn>
  </tableColumns>
  <tableStyleInfo name="TableStyleMedium9" showFirstColumn="0" showLastColumn="0" showRowStripes="1" showColumnStripes="0"/>
</table>
</file>

<file path=xl/tables/table7.xml><?xml version="1.0" encoding="utf-8"?>
<table xmlns="http://schemas.openxmlformats.org/spreadsheetml/2006/main" id="7" name="brazilian" displayName="brazilian" ref="BZ2:CB5" totalsRowShown="0" headerRowBorderDxfId="16" tableBorderDxfId="15">
  <autoFilter ref="BZ2:CB5"/>
  <sortState ref="BZ3:CB5">
    <sortCondition ref="CB2:CB5"/>
  </sortState>
  <tableColumns count="3">
    <tableColumn id="1" name="Location"/>
    <tableColumn id="2" name="Genre"/>
    <tableColumn id="3" name="Rand">
      <calculatedColumnFormula>+RAND()</calculatedColumnFormula>
    </tableColumn>
  </tableColumns>
  <tableStyleInfo name="TableStyleMedium9" showFirstColumn="0" showLastColumn="0" showRowStripes="1" showColumnStripes="0"/>
</table>
</file>

<file path=xl/tables/table8.xml><?xml version="1.0" encoding="utf-8"?>
<table xmlns="http://schemas.openxmlformats.org/spreadsheetml/2006/main" id="8" name="map_location" displayName="map_location" ref="BH8:BN15" totalsRowShown="0">
  <autoFilter ref="BH8:BN15"/>
  <tableColumns count="7">
    <tableColumn id="1" name="Genre"/>
    <tableColumn id="2" name="rand"/>
    <tableColumn id="3" name="location"/>
    <tableColumn id="4" name="1* rand" dataDxfId="14">
      <calculatedColumnFormula>+map_location[[#This Row],[rand]]</calculatedColumnFormula>
    </tableColumn>
    <tableColumn id="5" name="min" dataDxfId="13">
      <calculatedColumnFormula array="1">INDIRECT(BL16,FALSE)</calculatedColumnFormula>
    </tableColumn>
    <tableColumn id="6" name="MIN+1"/>
    <tableColumn id="7" name="MIN+2"/>
  </tableColumns>
  <tableStyleInfo name="TableStyleMedium9" showFirstColumn="0" showLastColumn="0" showRowStripes="1" showColumnStripes="0"/>
</table>
</file>

<file path=xl/tables/table9.xml><?xml version="1.0" encoding="utf-8"?>
<table xmlns="http://schemas.openxmlformats.org/spreadsheetml/2006/main" id="9" name="tech_country" displayName="tech_country" ref="BJ20:BL31" totalsRowShown="0">
  <autoFilter ref="BJ20:BL31"/>
  <tableColumns count="3">
    <tableColumn id="1" name="Country"/>
    <tableColumn id="2" name="Genre"/>
    <tableColumn id="3" name="Rand">
      <calculatedColumnFormula>+RAND()</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id="10" name="deep_country" displayName="deep_country" ref="BE20:BG31" totalsRowShown="0">
  <autoFilter ref="BE20:BG31"/>
  <tableColumns count="3">
    <tableColumn id="1" name="Country"/>
    <tableColumn id="2" name="Genre"/>
    <tableColumn id="3" name="Rand">
      <calculatedColumnFormula>+RAND()</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id="11" name="brazilian_country" displayName="brazilian_country" ref="BE34:BG45" totalsRowShown="0">
  <autoFilter ref="BE34:BG45"/>
  <tableColumns count="3">
    <tableColumn id="1" name="Country"/>
    <tableColumn id="2" name="Genre"/>
    <tableColumn id="3" name="Rand">
      <calculatedColumnFormula>+RAND()</calculatedColumnFormula>
    </tableColumn>
  </tableColumns>
  <tableStyleInfo name="TableStyleMedium9" showFirstColumn="0" showLastColumn="0" showRowStripes="1" showColumnStripes="0"/>
</table>
</file>

<file path=xl/tables/table12.xml><?xml version="1.0" encoding="utf-8"?>
<table xmlns="http://schemas.openxmlformats.org/spreadsheetml/2006/main" id="12" name="lo_fi_country" displayName="lo_fi_country" ref="BJ34:BL39" totalsRowShown="0">
  <autoFilter ref="BJ34:BL39"/>
  <tableColumns count="3">
    <tableColumn id="1" name="Country"/>
    <tableColumn id="2" name="Genre"/>
    <tableColumn id="3" name="Rand">
      <calculatedColumnFormula>+RAND()</calculatedColumnFormula>
    </tableColumn>
  </tableColumns>
  <tableStyleInfo name="TableStyleMedium9" showFirstColumn="0" showLastColumn="0" showRowStripes="1" showColumnStripes="0"/>
</table>
</file>

<file path=xl/tables/table13.xml><?xml version="1.0" encoding="utf-8"?>
<table xmlns="http://schemas.openxmlformats.org/spreadsheetml/2006/main" id="13" name="piano_country" displayName="piano_country" ref="BN20:BP31" totalsRowShown="0">
  <autoFilter ref="BN20:BP31"/>
  <tableColumns count="3">
    <tableColumn id="1" name="Country"/>
    <tableColumn id="2" name="Genre"/>
    <tableColumn id="3" name="Rand">
      <calculatedColumnFormula>+RAND()</calculatedColumnFormula>
    </tableColumn>
  </tableColumns>
  <tableStyleInfo name="TableStyleMedium9" showFirstColumn="0" showLastColumn="0" showRowStripes="1" showColumnStripes="0"/>
</table>
</file>

<file path=xl/tables/table14.xml><?xml version="1.0" encoding="utf-8"?>
<table xmlns="http://schemas.openxmlformats.org/spreadsheetml/2006/main" id="14" name="slap_country" displayName="slap_country" ref="BO34:BQ45" totalsRowShown="0">
  <autoFilter ref="BO34:BQ45"/>
  <tableColumns count="3">
    <tableColumn id="1" name="Country"/>
    <tableColumn id="2" name="Genre"/>
    <tableColumn id="3" name="Rand">
      <calculatedColumnFormula>+RAND()</calculatedColumnFormula>
    </tableColumn>
  </tableColumns>
  <tableStyleInfo name="TableStyleMedium9" showFirstColumn="0" showLastColumn="0" showRowStripes="1" showColumnStripes="0"/>
</table>
</file>

<file path=xl/tables/table15.xml><?xml version="1.0" encoding="utf-8"?>
<table xmlns="http://schemas.openxmlformats.org/spreadsheetml/2006/main" id="15" name="indie_country" displayName="indie_country" ref="BR20:BT31" totalsRowShown="0">
  <autoFilter ref="BR20:BT31"/>
  <tableColumns count="3">
    <tableColumn id="1" name="Country"/>
    <tableColumn id="2" name="Genre"/>
    <tableColumn id="3" name="Rand">
      <calculatedColumnFormula>+RAND()</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id="16" name="map_country" displayName="map_country" ref="BI50:BV58" totalsRowShown="0">
  <autoFilter ref="BI50:BV58"/>
  <tableColumns count="14">
    <tableColumn id="1" name="Genre"/>
    <tableColumn id="2" name="rand"/>
    <tableColumn id="3" name="country"/>
    <tableColumn id="4" name="1* rand" dataDxfId="12">
      <calculatedColumnFormula>+map_country[[#This Row],[rand]]</calculatedColumnFormula>
    </tableColumn>
    <tableColumn id="5" name="min" dataDxfId="11">
      <calculatedColumnFormula array="1">INDIRECT(BM58,FALSE)</calculatedColumnFormula>
    </tableColumn>
    <tableColumn id="6" name="MIN+1">
      <calculatedColumnFormula>+SUBSTITUTE(map_country[[#This Row],[min]],MID(map_country[[#This Row],[min]],2,2),MID(map_country[[#This Row],[min]],2,2)+1)</calculatedColumnFormula>
    </tableColumn>
    <tableColumn id="7" name="MIN+2">
      <calculatedColumnFormula>+SUBSTITUTE(map_country[[#This Row],[min]],MID(map_country[[#This Row],[min]],2,2),MID(map_country[[#This Row],[min]],2,2)+2)</calculatedColumnFormula>
    </tableColumn>
    <tableColumn id="8" name="min+3">
      <calculatedColumnFormula>+SUBSTITUTE(map_country[[#This Row],[min]],MID(map_country[[#This Row],[min]],2,2),MID(map_country[[#This Row],[min]],2,2)+3)</calculatedColumnFormula>
    </tableColumn>
    <tableColumn id="9" name="min+4">
      <calculatedColumnFormula>+SUBSTITUTE(map_country[[#This Row],[min]],MID(map_country[[#This Row],[min]],2,2),MID(map_country[[#This Row],[min]],2,2)+4)</calculatedColumnFormula>
    </tableColumn>
    <tableColumn id="10" name="min+5">
      <calculatedColumnFormula>+SUBSTITUTE(map_country[[#This Row],[min]],MID(map_country[[#This Row],[min]],2,2),MID(map_country[[#This Row],[min]],2,2)+5)</calculatedColumnFormula>
    </tableColumn>
    <tableColumn id="11" name="min+6">
      <calculatedColumnFormula>+SUBSTITUTE(map_country[[#This Row],[min]],MID(map_country[[#This Row],[min]],2,2),MID(map_country[[#This Row],[min]],2,2)+6)</calculatedColumnFormula>
    </tableColumn>
    <tableColumn id="12" name="min+7">
      <calculatedColumnFormula>+SUBSTITUTE(map_country[[#This Row],[min]],MID(map_country[[#This Row],[min]],2,2),MID(map_country[[#This Row],[min]],2,2)+7)</calculatedColumnFormula>
    </tableColumn>
    <tableColumn id="13" name="min+8">
      <calculatedColumnFormula>+SUBSTITUTE(map_country[[#This Row],[min]],MID(map_country[[#This Row],[min]],2,2),MID(map_country[[#This Row],[min]],2,2)+8)</calculatedColumnFormula>
    </tableColumn>
    <tableColumn id="14" name="min+9">
      <calculatedColumnFormula>+SUBSTITUTE(map_country[[#This Row],[min]],MID(map_country[[#This Row],[min]],2,2),MID(map_country[[#This Row],[min]],2,2)+9)</calculatedColumnFormula>
    </tableColumn>
  </tableColumns>
  <tableStyleInfo name="TableStyleMedium9" showFirstColumn="0" showLastColumn="0" showRowStripes="1" showColumnStripes="0"/>
</table>
</file>

<file path=xl/tables/table17.xml><?xml version="1.0" encoding="utf-8"?>
<table xmlns="http://schemas.openxmlformats.org/spreadsheetml/2006/main" id="17" name="edm" displayName="edm" ref="CD2:CF5" totalsRowShown="0" headerRowBorderDxfId="10" tableBorderDxfId="9">
  <autoFilter ref="CD2:CF5"/>
  <sortState ref="CD3:CF5">
    <sortCondition ref="CF2:CF5"/>
  </sortState>
  <tableColumns count="3">
    <tableColumn id="1" name="Location"/>
    <tableColumn id="2" name="Genre"/>
    <tableColumn id="3" name="Rand">
      <calculatedColumnFormula>+RAND()</calculatedColumnFormula>
    </tableColumn>
  </tableColumns>
  <tableStyleInfo name="TableStyleMedium7" showFirstColumn="0" showLastColumn="0" showRowStripes="1" showColumnStripes="0"/>
</table>
</file>

<file path=xl/tables/table18.xml><?xml version="1.0" encoding="utf-8"?>
<table xmlns="http://schemas.openxmlformats.org/spreadsheetml/2006/main" id="18" name="edm_country" displayName="edm_country" ref="BV20:BX31" totalsRowShown="0">
  <autoFilter ref="BV20:BX31"/>
  <tableColumns count="3">
    <tableColumn id="1" name="Country"/>
    <tableColumn id="2" name="Genre"/>
    <tableColumn id="3" name="Rand">
      <calculatedColumnFormula>+RAND()</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table" Target="../tables/table9.xml"/><Relationship Id="rId18" Type="http://schemas.openxmlformats.org/officeDocument/2006/relationships/table" Target="../tables/table14.xml"/><Relationship Id="rId3" Type="http://schemas.openxmlformats.org/officeDocument/2006/relationships/vmlDrawing" Target="../drawings/vmlDrawing1.vml"/><Relationship Id="rId21" Type="http://schemas.openxmlformats.org/officeDocument/2006/relationships/table" Target="../tables/table17.xml"/><Relationship Id="rId7" Type="http://schemas.openxmlformats.org/officeDocument/2006/relationships/table" Target="../tables/table3.xml"/><Relationship Id="rId12" Type="http://schemas.openxmlformats.org/officeDocument/2006/relationships/table" Target="../tables/table8.xml"/><Relationship Id="rId17" Type="http://schemas.openxmlformats.org/officeDocument/2006/relationships/table" Target="../tables/table13.xml"/><Relationship Id="rId2" Type="http://schemas.openxmlformats.org/officeDocument/2006/relationships/drawing" Target="../drawings/drawing1.xml"/><Relationship Id="rId16" Type="http://schemas.openxmlformats.org/officeDocument/2006/relationships/table" Target="../tables/table12.xml"/><Relationship Id="rId20" Type="http://schemas.openxmlformats.org/officeDocument/2006/relationships/table" Target="../tables/table16.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5" Type="http://schemas.openxmlformats.org/officeDocument/2006/relationships/table" Target="../tables/table11.xml"/><Relationship Id="rId10" Type="http://schemas.openxmlformats.org/officeDocument/2006/relationships/table" Target="../tables/table6.xml"/><Relationship Id="rId19" Type="http://schemas.openxmlformats.org/officeDocument/2006/relationships/table" Target="../tables/table15.xml"/><Relationship Id="rId4" Type="http://schemas.openxmlformats.org/officeDocument/2006/relationships/ctrlProp" Target="../ctrlProps/ctrlProp1.xml"/><Relationship Id="rId9" Type="http://schemas.openxmlformats.org/officeDocument/2006/relationships/table" Target="../tables/table5.xml"/><Relationship Id="rId14" Type="http://schemas.openxmlformats.org/officeDocument/2006/relationships/table" Target="../tables/table10.xml"/><Relationship Id="rId22" Type="http://schemas.openxmlformats.org/officeDocument/2006/relationships/table" Target="../tables/table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K64"/>
  <sheetViews>
    <sheetView tabSelected="1" zoomScale="70" zoomScaleNormal="70" workbookViewId="0">
      <selection activeCell="D21" sqref="D21"/>
    </sheetView>
  </sheetViews>
  <sheetFormatPr defaultRowHeight="15" outlineLevelCol="1" x14ac:dyDescent="0.25"/>
  <cols>
    <col min="1" max="1" width="52.28515625" style="25" bestFit="1" customWidth="1"/>
    <col min="2" max="2" width="16.7109375" style="25" customWidth="1"/>
    <col min="3" max="3" width="13.7109375" style="25" customWidth="1" outlineLevel="1"/>
    <col min="4" max="5" width="20.85546875" style="25" customWidth="1" outlineLevel="1"/>
    <col min="6" max="6" width="17.28515625" style="25" customWidth="1" outlineLevel="1"/>
    <col min="7" max="7" width="13.7109375" style="25" customWidth="1" outlineLevel="1"/>
    <col min="8" max="8" width="13.7109375" style="25" customWidth="1"/>
    <col min="9" max="13" width="13.7109375" style="25" customWidth="1" outlineLevel="1"/>
    <col min="14" max="14" width="15.42578125" style="25" customWidth="1" outlineLevel="1"/>
    <col min="15" max="16" width="13.7109375" style="25" customWidth="1" outlineLevel="1"/>
    <col min="17" max="17" width="9.140625" style="25" customWidth="1" outlineLevel="1"/>
    <col min="18" max="18" width="16.140625" style="25" customWidth="1" outlineLevel="1"/>
    <col min="19" max="19" width="9.140625" style="25" customWidth="1" outlineLevel="1"/>
    <col min="20" max="20" width="8.85546875" style="25" customWidth="1" outlineLevel="1"/>
    <col min="21" max="21" width="12.42578125" style="25" customWidth="1" outlineLevel="1"/>
    <col min="22" max="22" width="27.7109375" style="25" customWidth="1" outlineLevel="1"/>
    <col min="23" max="23" width="21.7109375" style="25" customWidth="1" outlineLevel="1"/>
    <col min="24" max="24" width="31" style="25" bestFit="1" customWidth="1"/>
    <col min="25" max="30" width="8.85546875" style="25" customWidth="1" outlineLevel="1"/>
    <col min="31" max="31" width="8.85546875" style="25" customWidth="1" outlineLevel="1" collapsed="1"/>
    <col min="32" max="32" width="84.140625" style="25" customWidth="1"/>
    <col min="33" max="33" width="16.140625" style="25" customWidth="1" outlineLevel="1"/>
    <col min="34" max="34" width="14.85546875" style="25" customWidth="1" outlineLevel="1"/>
    <col min="35" max="35" width="18.5703125" style="25" bestFit="1" customWidth="1" outlineLevel="1"/>
    <col min="36" max="36" width="14.42578125" style="25" bestFit="1" customWidth="1"/>
    <col min="37" max="37" width="15.28515625" style="25" customWidth="1" outlineLevel="1"/>
    <col min="38" max="38" width="28" style="25" customWidth="1"/>
    <col min="39" max="39" width="10" style="25" customWidth="1"/>
    <col min="40" max="40" width="48.28515625" style="20" hidden="1" customWidth="1" outlineLevel="1"/>
    <col min="41" max="41" width="13.140625" style="20" hidden="1" customWidth="1" outlineLevel="1"/>
    <col min="42" max="42" width="35.5703125" style="20" hidden="1" customWidth="1" outlineLevel="1"/>
    <col min="43" max="45" width="6.85546875" style="20" hidden="1" customWidth="1" outlineLevel="1"/>
    <col min="46" max="46" width="8.85546875" style="25" customWidth="1" collapsed="1"/>
    <col min="48" max="48" width="13.42578125" style="25" hidden="1" customWidth="1" outlineLevel="1"/>
    <col min="49" max="49" width="15" style="25" hidden="1" customWidth="1" outlineLevel="1"/>
    <col min="50" max="50" width="95.85546875" style="25" hidden="1" customWidth="1" outlineLevel="1"/>
    <col min="51" max="51" width="53.28515625" style="25" hidden="1" customWidth="1" outlineLevel="1"/>
    <col min="52" max="52" width="27.85546875" style="25" hidden="1" customWidth="1" outlineLevel="1"/>
    <col min="53" max="53" width="18.7109375" style="25" hidden="1" customWidth="1" outlineLevel="1"/>
    <col min="54" max="54" width="8.85546875" style="25" customWidth="1" collapsed="1"/>
    <col min="57" max="57" width="38.85546875" style="25" bestFit="1" customWidth="1"/>
    <col min="58" max="58" width="12.85546875" style="25" bestFit="1" customWidth="1"/>
    <col min="59" max="59" width="14.7109375" style="25" bestFit="1" customWidth="1"/>
    <col min="60" max="60" width="17.140625" style="25" bestFit="1" customWidth="1"/>
    <col min="61" max="61" width="22.140625" style="25" customWidth="1"/>
    <col min="62" max="62" width="21.28515625" style="25" bestFit="1" customWidth="1"/>
    <col min="63" max="63" width="14.7109375" style="25" bestFit="1" customWidth="1"/>
    <col min="64" max="64" width="21.28515625" style="25" bestFit="1" customWidth="1"/>
    <col min="65" max="65" width="9.85546875" style="25" customWidth="1"/>
    <col min="66" max="66" width="34.28515625" style="25" bestFit="1" customWidth="1"/>
    <col min="67" max="67" width="13.28515625" style="25" bestFit="1" customWidth="1"/>
    <col min="68" max="68" width="14.7109375" style="25" bestFit="1" customWidth="1"/>
    <col min="70" max="70" width="33.28515625" style="25" bestFit="1" customWidth="1"/>
    <col min="71" max="71" width="17.140625" style="25" bestFit="1" customWidth="1"/>
    <col min="72" max="72" width="14.7109375" style="25" bestFit="1" customWidth="1"/>
    <col min="74" max="74" width="38.7109375" style="25" bestFit="1" customWidth="1"/>
    <col min="75" max="75" width="12" style="25" bestFit="1" customWidth="1"/>
    <col min="76" max="76" width="14.7109375" style="25" bestFit="1" customWidth="1"/>
    <col min="78" max="78" width="42.5703125" style="25" bestFit="1" customWidth="1"/>
    <col min="79" max="79" width="14.28515625" style="25" bestFit="1" customWidth="1"/>
    <col min="80" max="80" width="14.7109375" style="25" bestFit="1" customWidth="1"/>
    <col min="323" max="323" width="13.7109375" style="25" customWidth="1"/>
  </cols>
  <sheetData>
    <row r="1" spans="1:323" ht="15.75" customHeight="1" thickBot="1" x14ac:dyDescent="0.3">
      <c r="A1" s="1" t="s">
        <v>0</v>
      </c>
      <c r="B1" s="1" t="s">
        <v>1</v>
      </c>
      <c r="C1" s="1" t="s">
        <v>2</v>
      </c>
      <c r="D1" s="1" t="s">
        <v>3</v>
      </c>
      <c r="E1" s="1" t="s">
        <v>4</v>
      </c>
      <c r="F1" s="1" t="s">
        <v>5</v>
      </c>
      <c r="G1" s="1" t="s">
        <v>6</v>
      </c>
      <c r="H1" s="6" t="s">
        <v>7</v>
      </c>
      <c r="I1" s="1" t="s">
        <v>8</v>
      </c>
      <c r="J1" s="1" t="s">
        <v>9</v>
      </c>
      <c r="K1" s="1" t="s">
        <v>10</v>
      </c>
      <c r="L1" s="1" t="s">
        <v>11</v>
      </c>
      <c r="M1" s="2" t="s">
        <v>12</v>
      </c>
      <c r="N1" s="22" t="s">
        <v>13</v>
      </c>
      <c r="O1" s="26" t="s">
        <v>14</v>
      </c>
      <c r="P1" s="27"/>
      <c r="Q1" s="27"/>
      <c r="R1" s="27"/>
      <c r="S1" s="27"/>
      <c r="T1" s="27"/>
      <c r="U1" s="23" t="s">
        <v>15</v>
      </c>
      <c r="V1" s="24" t="s">
        <v>16</v>
      </c>
      <c r="W1" s="24"/>
      <c r="X1" s="28" t="s">
        <v>17</v>
      </c>
      <c r="Y1" s="27"/>
      <c r="Z1" s="27"/>
      <c r="AA1" s="27"/>
      <c r="AB1" s="27"/>
      <c r="AC1" s="27"/>
      <c r="AD1" s="27"/>
      <c r="AE1" s="27"/>
      <c r="AF1" s="27"/>
      <c r="AG1" s="29" t="s">
        <v>18</v>
      </c>
      <c r="AH1" s="27"/>
      <c r="AI1" s="27"/>
      <c r="AJ1" s="27"/>
      <c r="AK1" s="27"/>
      <c r="AL1" s="30"/>
      <c r="AM1" s="21"/>
      <c r="AN1" s="20" t="s">
        <v>19</v>
      </c>
      <c r="AO1" s="20" t="s">
        <v>20</v>
      </c>
      <c r="AP1" s="20" t="s">
        <v>21</v>
      </c>
      <c r="AQ1" s="20" t="s">
        <v>22</v>
      </c>
      <c r="AR1" s="20" t="s">
        <v>23</v>
      </c>
      <c r="AS1" s="20" t="s">
        <v>24</v>
      </c>
      <c r="AV1" s="16" t="s">
        <v>25</v>
      </c>
      <c r="AW1" s="17" t="s">
        <v>7</v>
      </c>
      <c r="AX1" s="18" t="s">
        <v>26</v>
      </c>
      <c r="AY1" s="17" t="s">
        <v>27</v>
      </c>
      <c r="AZ1" s="17" t="s">
        <v>28</v>
      </c>
      <c r="BA1" s="17" t="s">
        <v>29</v>
      </c>
      <c r="LK1" s="1"/>
    </row>
    <row r="2" spans="1:323" x14ac:dyDescent="0.25">
      <c r="A2" t="s">
        <v>30</v>
      </c>
      <c r="B2" t="s">
        <v>31</v>
      </c>
      <c r="C2" t="s">
        <v>32</v>
      </c>
      <c r="D2" t="s">
        <v>33</v>
      </c>
      <c r="E2" t="s">
        <v>34</v>
      </c>
      <c r="F2" s="3">
        <v>5063113981869</v>
      </c>
      <c r="G2" t="s">
        <v>35</v>
      </c>
      <c r="H2" s="7" t="s">
        <v>36</v>
      </c>
      <c r="I2" t="s">
        <v>37</v>
      </c>
      <c r="J2" t="s">
        <v>38</v>
      </c>
      <c r="K2" t="s">
        <v>39</v>
      </c>
      <c r="L2" t="s">
        <v>40</v>
      </c>
      <c r="M2">
        <v>1</v>
      </c>
      <c r="N2" t="s">
        <v>13</v>
      </c>
      <c r="O2" t="str">
        <f t="shared" ref="O2:O40" si="0">IF(N2="Remix","Citas:Remix",IF(N2="Cover","Citas:Cover",IF(N2="Radio","Single",IF(N2="Radio/Extended","Single",""))))</f>
        <v>Single</v>
      </c>
      <c r="P2" t="str">
        <f t="shared" ref="P2:P40" si="1">IF(M2=1,"High_Priority",IF(M2=2,"Priority",IF(M2=3,"General_Release",IF(M2=4,"General_Release",IF(M2="","")))))</f>
        <v>High_Priority</v>
      </c>
      <c r="Q2" t="str">
        <f t="shared" ref="Q2:Q40" si="2">IF(N2="Remix","Citas:Remix",IF(N2="Cover","Citas:Cover",IF(N2="Radio","Single",IF(N2="Radio/Extended","Single",""))))</f>
        <v>Single</v>
      </c>
      <c r="R2" t="str">
        <f t="array" ref="R2">IF(SUM(COUNTIF(H2,{"*Deep*";"*Bass*";"*Slap*"})),"Citas:Deep House",IF(SUM(COUNTIF(H2,{"*Lo-Fi*"})),"Citas:Lo-Fi",IF(SUM(COUNTIF(H2,{"*Tech*"})),"Citas:Tech House",IF(SUM(COUNTIF(H2,{"*Indie/Chill Dance*"})),"Citas:Indie/Chill Dance",IF(SUM(COUNTIF(H2,{"*Piano*"})),"Citas:Piano House",IF(SUM(COUNTIF(H2,{"*EDM*"})),"edm dance",IF(H2="","","")))))))</f>
        <v>Citas:Deep House</v>
      </c>
      <c r="S2" t="str">
        <f t="array" ref="S2">IF(SUM(COUNTIF(H2,{"*Deep*";"*Bass*";"*Slap*"})),"energetic",IF(SUM(COUNTIF(H2,{"*Lo-Fi*"})),"calm",IF(SUM(COUNTIF(H2,{"*Tech*"})),"energetic",IF(SUM(COUNTIF(H2,{"*Indie/Chill Dance*"})),"chillout",IF(SUM(COUNTIF(H2,{"*Piano*"})),"energetic",IF(SUM(COUNTIF(H2,{"*EDM*"})),"energetic",IF(H2="","","")))))))</f>
        <v>energetic</v>
      </c>
      <c r="T2" t="str">
        <f t="array" ref="T2">IF(SUM(COUNTIF(H2,{"*Tech*";"*EDM*";"*Indie*";"*Deep*";"*Piano*";"*Slap*";"*Brazilian Bass*"})),"Song would perfectly fit in any dance mood playlist! Label will invest up to 5000 EUR advertising on facebook and instagram ads aswell as promoting it over label and label partners playlists, radio stations and press.",IF(SUM(COUNTIF(H2,{"*Lo-Fi*"})),"Song would perfectly fit in any Lo-Fi mood playlist! Label will invest up to 5000 EUR advertising on facebook and instagram ads aswell as promoting it over label and label partners playlists, radio stations and press.",IF(H2="","","")))</f>
        <v>Song would perfectly fit in any dance mood playlist! Label will invest up to 5000 EUR advertising on facebook and instagram ads aswell as promoting it over label and label partners playlists, radio stations and press.</v>
      </c>
      <c r="U2" t="str">
        <f t="shared" ref="U2:U37" si="3">IF(N2="Cover","SGL",IF(N2="Radio","SGL",IF(N2="Remix","RMX",IF(N2="","","SGL"))))</f>
        <v>SGL</v>
      </c>
      <c r="V2" t="str">
        <f t="shared" ref="V2:V38" si="4">IF(L2="Floating Blue Records","Instrumental only",IF(L2="Day Dose Of House","Electronic, Dance, Deep House",""))</f>
        <v>Electronic, Dance, Deep House</v>
      </c>
      <c r="X2" t="str">
        <f t="array" aca="1" ref="X2" ca="1">+IF(H2="LO-FI","",IFERROR(INDEX(INDIRECT((_xlfn.XLOOKUP(H2,map_location[Genre],map_location[location]))),RANK(INDIRECT((_xlfn.XLOOKUP(H2,map_location[Genre],map_location[min])),FALSE),INDIRECT((_xlfn.XLOOKUP(H2,map_location[Genre],map_location[rand]))),1)),""))</f>
        <v/>
      </c>
      <c r="Y2" t="str">
        <f t="array" ref="Y2">IF(SUM(COUNTIF(H2,{"*Deep*";"*Bass*";"*Slap*"})),"**Deep House**House**Dance**",IF(SUM(COUNTIF(H2,{"*Lo-Fi*"})),"**Lo-Fi Pop**Lo-Fi Beats**Lo-Fi**",IF(SUM(COUNTIF(H2,{"*Tech*"})),"**Deep House**Tech House**Dance**",IF(SUM(COUNTIF(H2,{"*Indie/Chill Dance*"})),"**Indie Dance**Indie Electronic**Dance Pop**",IF(SUM(COUNTIF(H2,{"*Piano*"})),"**House**Electro house**Melodic House**",IF(SUM(COUNTIF(H2,{"*EDM*"})),"**EDM**Electro house**Dance Pop**",IF(H2="","","")))))))</f>
        <v>**Deep House**House**Dance**</v>
      </c>
      <c r="Z2" t="str">
        <f t="array" ref="Z2">IF(SUM(COUNTIF(H2,{"*Deep*";"*Bass*";"*Slap*"})),"Energetic,Happy",IF(SUM(COUNTIF(H2,{"*Lo-Fi*"})),"Romantic,Chill",IF(SUM(COUNTIF(H2,{"*Tech*"})),"Energetic,Happy",IF(SUM(COUNTIF(H2,{"*Indie/Chill Dance*"})),"Energetic,Chill",IF(SUM(COUNTIF(H2,{"*Piano*"})),"Energetic,Happy",IF(SUM(COUNTIF(H2,{"*EDM*"})),"Energetic,Happy",IF(H2="","","")))))))</f>
        <v>Energetic,Happy</v>
      </c>
      <c r="AA2" t="str">
        <f t="array" ref="AA2">IF(SUM(COUNTIF(H2,{"*Deep*";"*Bass*";"*Slap*"})),"None of these",IF(SUM(COUNTIF(H2,{"*Lo-Fi*"})),"Holiday,Beats",IF(SUM(COUNTIF(H2,{"*Tech*"})),"None of these",IF(SUM(COUNTIF(H2,{"*Indie/Chill Dance*"})),"None of these",IF(SUM(COUNTIF(H2,{"*Piano*"})),"None of these",IF(SUM(COUNTIF(H2,{"*EDM*"})),"None of these",IF(H2="","","")))))))</f>
        <v>None of these</v>
      </c>
      <c r="AB2" t="str">
        <f t="array" ref="AB2">IF(SUM(COUNTIF(H2,{"*Deep*";"*Bass*";"*Slap*"})),"Samples,Synthesizer,Bass Guitar,Piano,Drum Kit,Electric Guitar",IF(SUM(COUNTIF(H2,{"*Lo-Fi*"})),"Samples,Synthesizer,Bass Guitar,Piano,Drum Kit,Electric Guitar",IF(SUM(COUNTIF(H2,{"*Tech*"})),"Samples,Synthesizer,Bass Guitar,Piano,Drum Kit,Electric Guitar",IF(SUM(COUNTIF(H2,{"*Indie/Chill Dance*"})),"Samples,Synthesizer,Bass Guitar,Piano,Drum Kit,Electric Guitar",IF(SUM(COUNTIF(H2,{"*Piano*"})),"Samples,Synthesizer,Bass Guitar,Piano,Drum Kit,Electric Guitar",IF(SUM(COUNTIF(H2,{"*EDM*"})),"Samples,Synthesizer,Bass Guitar,Piano,Drum Kit,Electric Guitar",IF(H2="","","")))))))</f>
        <v>Samples,Synthesizer,Bass Guitar,Piano,Drum Kit,Electric Guitar</v>
      </c>
      <c r="AC2" t="str">
        <f t="array" ref="AC2">IF(N2="Cover","Yes",IF(SUM(COUNTIF(N2,{"*Radio/Extended*";"*Radio*";"*Remix*"})),"No",""))</f>
        <v>No</v>
      </c>
      <c r="AD2" t="str">
        <f t="array" ref="AD2">IF(N2="Remix","Yes",IF(SUM(COUNTIF(N2,{"*Radio/Extended*";"*Radio*";"*Cover*"})),"No",""))</f>
        <v>No</v>
      </c>
      <c r="AE2" t="str">
        <f t="shared" ref="AE2:AE33" si="5">IF(ISTEXT(A2),"**English**","")</f>
        <v>**English**</v>
      </c>
      <c r="AF2" t="str">
        <f t="array" aca="1" ref="AF2" ca="1">+TRIM(SUBSTITUTE(SUBSTITUTE(SUBSTITUTE(SUBSTITUTE(IFERROR(AO2&amp;" "&amp;+_xlfn.XLOOKUP(((SUM(LEN(AN2))-SUM(LEN(SUBSTITUTE(AN2,",",""))))/LEN(",")+1)&amp;H2,AV:AV&amp;AW:AW,AY:AY)&amp;CHAR(34)&amp;B2&amp;CHAR(34)&amp;"!"&amp;_xlfn.XLOOKUP(H2,text_list[Genre],text_list[Type based on genre]&amp;text_list[Label]),""),"Second",AP2),"Third",AQ2),"Forth",AR2),"Fifth",AS2&amp;" "))</f>
        <v/>
      </c>
      <c r="AG2" t="str">
        <f t="array" ref="AG2">IF(SUM(COUNTIF(H2,{"*Deep*";"*Bass*";"*Slap*"})),"**Deep House**Progressive House**House**",IF(SUM(COUNTIF(H2,{"*Lo-Fi*"})),"**Lo-Fi Hip Hop**Indie &amp; Lo Fi**Lounge**",IF(SUM(COUNTIF(H2,{"*Tech*"})),"**Tech House**Techno**Future House**",IF(SUM(COUNTIF(H2,{"*Indie/Chill Dance*"})),"**Chill Electronic**Indie Dance**Ambient**",IF(SUM(COUNTIF(H2,{"*Piano*"})),"**Progressive House**House**Dance Pop**",IF(SUM(COUNTIF(H2,{"*EDM*"})),"**Progressive House**House**EDM**",IF(H2="","","")))))))</f>
        <v>**Deep House**Progressive House**House**</v>
      </c>
      <c r="AH2" t="str">
        <f t="shared" ref="AH2:AH11" si="6">IF(N2="Remix","Remix",IF(N2="Cover","Cover",IF(N2="Radio","Original",IF(N2="Radio/Extended","Original",""))))</f>
        <v>Original</v>
      </c>
      <c r="AI2" t="str">
        <f t="array" ref="AI2">IF(SUM(COUNTIF(H2,{"*Deep*";"*Bass*";"*Slap*"})),"**Tiësto**Imanbek**",IF(SUM(COUNTIF(H2,{"*Lo-Fi*"})),"**L.Dre**Yasumu**",IF(SUM(COUNTIF(H2,{"*Tech*"})),"**Mau P**Gorgon City**",IF(SUM(COUNTIF(H2,{"*Indie/Chill Dance*"})),"**Felix Jaehn**Lost Frequencies**",IF(SUM(COUNTIF(H2,{"*Piano*"})),"**Avicii**Eric Prydz**",IF(SUM(COUNTIF(H2,{"*EDM*"})),"**David Guetta**Swedish House Mafia**",IF(H2="","","")))))))</f>
        <v>**Tiësto**Imanbek**</v>
      </c>
      <c r="AJ2" t="str">
        <f t="array" aca="1" ref="AJ2" ca="1">+IFERROR(INDEX(INDIRECT((_xlfn.XLOOKUP(H2,map_country[Genre],map_country[country]))),RANK(INDIRECT((_xlfn.XLOOKUP(H2,map_country[Genre],map_country[min])),FALSE),INDIRECT((_xlfn.XLOOKUP(H2,map_country[Genre],map_country[rand]))),1)),"")</f>
        <v/>
      </c>
      <c r="AK2" t="str">
        <f t="array" ref="AK2">IF(SUM(COUNTIF(H2,{"*Deep*";"*Bass*";"*Slap*"})),"Cool,Upbeat,Dark",IF(SUM(COUNTIF(H2,{"*Lo-Fi*"})),"Sexy,Relaxing,Romantic",IF(SUM(COUNTIF(H2,{"*Tech*"})),"Cool,Upbeat,Dark",IF(SUM(COUNTIF(H2,{"*Indie/Chill Dance*"})),"Cool,Upbeat,Light",IF(SUM(COUNTIF(H2,{"*Piano*"})),"Cool,Upbeat,Light",IF(SUM(COUNTIF(H2,{"*EDM*"})),"Cool,Upbeat,Happy Mood",IF(H2="","","")))))))</f>
        <v>Cool,Upbeat,Dark</v>
      </c>
      <c r="AL2" t="str">
        <f t="array" ref="AL2">IF(SUM(COUNTIF(H2,{"*Deep*";"*Bass*";"*Slap*"})),"Hard &amp; Heavy,Chilling Out &amp; Lounging,Happy &amp; Upbeat",IF(SUM(COUNTIF(H2,{"*Lo-Fi*"})),"Work, Study &amp; Reading,Chilling Out &amp; Lounging,Relaxed &amp; Laid Back",IF(SUM(COUNTIF(H2,{"*Tech*"})),"Hard &amp; Heavy,Chilling Out &amp; Lounging,Happy &amp; Upbeat",IF(SUM(COUNTIF(H2,{"*Indie/Chill Dance*"})),"Hard &amp; Heavy,Chilling Out &amp; Lounging,Happy &amp; Upbeat",IF(SUM(COUNTIF(H2,{"*Piano*"})),"Hard &amp; Heavy,Chilling Out &amp; Lounging,Happy &amp; Upbeat",IF(SUM(COUNTIF(H2,{"*EDM*"})),"Hard &amp; Heavy,Chilling Out &amp; Lounging,Happy &amp; Upbeat",IF(H2="","","")))))))</f>
        <v>Hard &amp; Heavy,Chilling Out &amp; Lounging,Happy &amp; Upbeat</v>
      </c>
      <c r="AN2" s="20" t="str">
        <f>TRIM(SUBSTITUTE(SUBSTITUTE(SUBSTITUTE(A2,"&amp;",","),"feat",","),".",""))</f>
        <v>Olly Gi</v>
      </c>
      <c r="AO2" s="20" t="str">
        <f ca="1">IFERROR(_xlfn.TEXTBEFORE(AN2,","),AN2)</f>
        <v>Olly Gi</v>
      </c>
      <c r="AP2" s="20" t="str">
        <f ca="1">IFERROR(TRIM(SUBSTITUTE(SUBSTITUTE(SUBSTITUTE(SUBSTITUTE(_xlfn.TEXTAFTER(AN2,",",1),AQ2,""),AR2,""),AS2,""),",","")),"")</f>
        <v/>
      </c>
      <c r="AQ2" s="20" t="str">
        <f ca="1">IFERROR(SUBSTITUTE(SUBSTITUTE(SUBSTITUTE(_xlfn.TEXTAFTER(AN2,",",2),AR2,""),",",""),AS2,""),"")</f>
        <v/>
      </c>
      <c r="AR2" s="20" t="str">
        <f ca="1">IFERROR(SUBSTITUTE(SUBSTITUTE(_xlfn.TEXTAFTER(AN2,",",3),AS2,""),",",""),"")</f>
        <v/>
      </c>
      <c r="AS2" s="20" t="str">
        <f ca="1">IFERROR(_xlfn.TEXTAFTER(AN2,",",4),"")</f>
        <v/>
      </c>
      <c r="AV2" s="11">
        <v>1</v>
      </c>
      <c r="AW2" s="8" t="s">
        <v>36</v>
      </c>
      <c r="AX2" s="12" t="s">
        <v>41</v>
      </c>
      <c r="AY2" t="e">
        <f ca="1">+_xlfn.TEXTBEFORE(text_list[[#This Row],[Text]],"''''!",,0)</f>
        <v>#NAME?</v>
      </c>
      <c r="AZ2" t="e">
        <f ca="1">+_xlfn.TEXTBEFORE(_xlfn.TEXTAFTER(text_list[[#This Row],[Text]],"'''!"),"Label")</f>
        <v>#NAME?</v>
      </c>
      <c r="BA2" t="e">
        <f ca="1">+_xlfn.TEXTAFTER(text_list[[#This Row],[Text]],text_list[[#This Row],[Type based on genre]])</f>
        <v>#NAME?</v>
      </c>
      <c r="BB2" t="s">
        <v>42</v>
      </c>
      <c r="BE2" t="s">
        <v>43</v>
      </c>
      <c r="BF2" t="s">
        <v>7</v>
      </c>
      <c r="BG2" t="s">
        <v>44</v>
      </c>
      <c r="BI2" t="s">
        <v>43</v>
      </c>
      <c r="BJ2" t="s">
        <v>7</v>
      </c>
      <c r="BK2" t="s">
        <v>44</v>
      </c>
      <c r="BL2" s="19" t="s">
        <v>45</v>
      </c>
      <c r="BN2" t="s">
        <v>43</v>
      </c>
      <c r="BO2" t="s">
        <v>7</v>
      </c>
      <c r="BP2" t="s">
        <v>44</v>
      </c>
      <c r="BR2" t="s">
        <v>43</v>
      </c>
      <c r="BS2" t="s">
        <v>7</v>
      </c>
      <c r="BT2" t="s">
        <v>44</v>
      </c>
      <c r="BV2" t="s">
        <v>43</v>
      </c>
      <c r="BW2" t="s">
        <v>7</v>
      </c>
      <c r="BX2" t="s">
        <v>44</v>
      </c>
      <c r="BZ2" t="s">
        <v>43</v>
      </c>
      <c r="CA2" t="s">
        <v>7</v>
      </c>
      <c r="CB2" t="s">
        <v>44</v>
      </c>
      <c r="CD2" t="s">
        <v>43</v>
      </c>
      <c r="CE2" t="s">
        <v>7</v>
      </c>
      <c r="CF2" t="s">
        <v>44</v>
      </c>
    </row>
    <row r="3" spans="1:323" x14ac:dyDescent="0.25">
      <c r="A3" t="s">
        <v>46</v>
      </c>
      <c r="B3" t="s">
        <v>31</v>
      </c>
      <c r="C3" t="s">
        <v>32</v>
      </c>
      <c r="D3" t="s">
        <v>33</v>
      </c>
      <c r="E3" t="s">
        <v>34</v>
      </c>
      <c r="F3" s="3">
        <v>5063113981869</v>
      </c>
      <c r="G3" t="s">
        <v>35</v>
      </c>
      <c r="H3" s="7" t="s">
        <v>36</v>
      </c>
      <c r="I3" t="s">
        <v>37</v>
      </c>
      <c r="J3" t="s">
        <v>38</v>
      </c>
      <c r="K3" t="s">
        <v>39</v>
      </c>
      <c r="L3" t="s">
        <v>40</v>
      </c>
      <c r="M3">
        <v>1</v>
      </c>
      <c r="N3" t="s">
        <v>13</v>
      </c>
      <c r="O3" s="25" t="str">
        <f t="shared" si="0"/>
        <v>Single</v>
      </c>
      <c r="P3" s="25" t="str">
        <f t="shared" si="1"/>
        <v>High_Priority</v>
      </c>
      <c r="Q3" s="25" t="str">
        <f t="shared" si="2"/>
        <v>Single</v>
      </c>
      <c r="R3" s="25" t="str">
        <f t="array" ref="R3">IF(SUM(COUNTIF(H3,{"*Deep*";"*Bass*";"*Slap*"})),"Citas:Deep House",IF(SUM(COUNTIF(H3,{"*Lo-Fi*"})),"Citas:Lo-Fi",IF(SUM(COUNTIF(H3,{"*Tech*"})),"Citas:Tech House",IF(SUM(COUNTIF(H3,{"*Indie/Chill Dance*"})),"Citas:Indie/Chill Dance",IF(SUM(COUNTIF(H3,{"*Piano*"})),"Citas:Piano House",IF(SUM(COUNTIF(H3,{"*EDM*"})),"edm dance",IF(H3="","","")))))))</f>
        <v>Citas:Deep House</v>
      </c>
      <c r="S3" s="25" t="str">
        <f t="array" ref="S3">IF(SUM(COUNTIF(H3,{"*Deep*";"*Bass*";"*Slap*"})),"energetic",IF(SUM(COUNTIF(H3,{"*Lo-Fi*"})),"calm",IF(SUM(COUNTIF(H3,{"*Tech*"})),"energetic",IF(SUM(COUNTIF(H3,{"*Indie/Chill Dance*"})),"chillout",IF(SUM(COUNTIF(H3,{"*Piano*"})),"energetic",IF(SUM(COUNTIF(H3,{"*EDM*"})),"energetic",IF(H3="","","")))))))</f>
        <v>energetic</v>
      </c>
      <c r="T3" s="25" t="str">
        <f t="array" ref="T3">IF(SUM(COUNTIF(H3,{"*Tech*";"*EDM*";"*Indie*";"*Deep*";"*Piano*";"*Slap*";"*Brazilian Bass*"})),"Song would perfectly fit in any dance mood playlist! Label will invest up to 5000 EUR advertising on facebook and instagram ads aswell as promoting it over label and label partners playlists, radio stations and press.",IF(SUM(COUNTIF(H3,{"*Lo-Fi*"})),"Song would perfectly fit in any Lo-Fi mood playlist! Label will invest up to 5000 EUR advertising on facebook and instagram ads aswell as promoting it over label and label partners playlists, radio stations and press.",IF(H3="","","")))</f>
        <v>Song would perfectly fit in any dance mood playlist! Label will invest up to 5000 EUR advertising on facebook and instagram ads aswell as promoting it over label and label partners playlists, radio stations and press.</v>
      </c>
      <c r="U3" s="25" t="str">
        <f t="shared" si="3"/>
        <v>SGL</v>
      </c>
      <c r="V3" s="25" t="str">
        <f t="shared" si="4"/>
        <v>Electronic, Dance, Deep House</v>
      </c>
      <c r="X3" s="25" t="str">
        <f t="array" aca="1" ref="X3" ca="1">+IF(H3="LO-FI","",IFERROR(INDEX(INDIRECT((_xlfn.XLOOKUP(H3,map_location[Genre],map_location[location]))),RANK(INDIRECT((_xlfn.XLOOKUP(H3,map_location[Genre],map_location[min])),FALSE),INDIRECT((_xlfn.XLOOKUP(H3,map_location[Genre],map_location[rand]))),1)),""))</f>
        <v/>
      </c>
      <c r="Y3" s="25" t="str">
        <f t="array" ref="Y3">IF(SUM(COUNTIF(H3,{"*Deep*";"*Bass*";"*Slap*"})),"**Deep House**House**Dance**",IF(SUM(COUNTIF(H3,{"*Lo-Fi*"})),"**Lo-Fi Pop**Lo-Fi Beats**Lo-Fi**",IF(SUM(COUNTIF(H3,{"*Tech*"})),"**Deep House**Tech House**Dance**",IF(SUM(COUNTIF(H3,{"*Indie/Chill Dance*"})),"**Indie Dance**Indie Electronic**Dance Pop**",IF(SUM(COUNTIF(H3,{"*Piano*"})),"**House**Electro house**Melodic House**",IF(SUM(COUNTIF(H3,{"*EDM*"})),"**EDM**Electro house**Dance Pop**",IF(H3="","","")))))))</f>
        <v>**Deep House**House**Dance**</v>
      </c>
      <c r="Z3" s="25" t="str">
        <f t="array" ref="Z3">IF(SUM(COUNTIF(H3,{"*Deep*";"*Bass*";"*Slap*"})),"Energetic,Happy",IF(SUM(COUNTIF(H3,{"*Lo-Fi*"})),"Romantic,Chill",IF(SUM(COUNTIF(H3,{"*Tech*"})),"Energetic,Happy",IF(SUM(COUNTIF(H3,{"*Indie/Chill Dance*"})),"Energetic,Chill",IF(SUM(COUNTIF(H3,{"*Piano*"})),"Energetic,Happy",IF(SUM(COUNTIF(H3,{"*EDM*"})),"Energetic,Happy",IF(H3="","","")))))))</f>
        <v>Energetic,Happy</v>
      </c>
      <c r="AA3" s="25" t="str">
        <f t="array" ref="AA3">IF(SUM(COUNTIF(H3,{"*Deep*";"*Bass*";"*Slap*"})),"None of these",IF(SUM(COUNTIF(H3,{"*Lo-Fi*"})),"Holiday,Beats",IF(SUM(COUNTIF(H3,{"*Tech*"})),"None of these",IF(SUM(COUNTIF(H3,{"*Indie/Chill Dance*"})),"None of these",IF(SUM(COUNTIF(H3,{"*Piano*"})),"None of these",IF(SUM(COUNTIF(H3,{"*EDM*"})),"None of these",IF(H3="","","")))))))</f>
        <v>None of these</v>
      </c>
      <c r="AB3" s="25" t="str">
        <f t="array" ref="AB3">IF(SUM(COUNTIF(H3,{"*Deep*";"*Bass*";"*Slap*"})),"Samples,Synthesizer,Bass Guitar,Piano,Drum Kit,Electric Guitar",IF(SUM(COUNTIF(H3,{"*Lo-Fi*"})),"Samples,Synthesizer,Bass Guitar,Piano,Drum Kit,Electric Guitar",IF(SUM(COUNTIF(H3,{"*Tech*"})),"Samples,Synthesizer,Bass Guitar,Piano,Drum Kit,Electric Guitar",IF(SUM(COUNTIF(H3,{"*Indie/Chill Dance*"})),"Samples,Synthesizer,Bass Guitar,Piano,Drum Kit,Electric Guitar",IF(SUM(COUNTIF(H3,{"*Piano*"})),"Samples,Synthesizer,Bass Guitar,Piano,Drum Kit,Electric Guitar",IF(SUM(COUNTIF(H3,{"*EDM*"})),"Samples,Synthesizer,Bass Guitar,Piano,Drum Kit,Electric Guitar",IF(H3="","","")))))))</f>
        <v>Samples,Synthesizer,Bass Guitar,Piano,Drum Kit,Electric Guitar</v>
      </c>
      <c r="AC3" s="25" t="str">
        <f t="array" ref="AC3">IF(N3="Cover","Yes",IF(SUM(COUNTIF(N3,{"*Radio/Extended*";"*Radio*";"*Remix*"})),"No",""))</f>
        <v>No</v>
      </c>
      <c r="AD3" s="25" t="str">
        <f t="array" ref="AD3">IF(N3="Remix","Yes",IF(SUM(COUNTIF(N3,{"*Radio/Extended*";"*Radio*";"*Cover*"})),"No",""))</f>
        <v>No</v>
      </c>
      <c r="AE3" s="25" t="str">
        <f t="shared" si="5"/>
        <v>**English**</v>
      </c>
      <c r="AF3" s="25" t="str">
        <f t="array" aca="1" ref="AF3" ca="1">+TRIM(SUBSTITUTE(SUBSTITUTE(SUBSTITUTE(SUBSTITUTE(IFERROR(AO3&amp;" "&amp;+_xlfn.XLOOKUP(((SUM(LEN(AN3))-SUM(LEN(SUBSTITUTE(AN3,",",""))))/LEN(",")+1)&amp;H3,AV:AV&amp;AW:AW,AY:AY)&amp;CHAR(34)&amp;B3&amp;CHAR(34)&amp;"!"&amp;_xlfn.XLOOKUP(H3,text_list[Genre],text_list[Type based on genre]&amp;text_list[Label]),""),"Second",AP3),"Third",AQ3),"Forth",AR3),"Fifth",AS3&amp;" "))</f>
        <v/>
      </c>
      <c r="AG3" s="25" t="str">
        <f t="array" ref="AG3">IF(SUM(COUNTIF(H3,{"*Deep*";"*Bass*";"*Slap*"})),"**Deep House**Progressive House**House**",IF(SUM(COUNTIF(H3,{"*Lo-Fi*"})),"**Lo-Fi Hip Hop**Indie &amp; Lo Fi**Lounge**",IF(SUM(COUNTIF(H3,{"*Tech*"})),"**Tech House**Techno**Future House**",IF(SUM(COUNTIF(H3,{"*Indie/Chill Dance*"})),"**Chill Electronic**Indie Dance**Ambient**",IF(SUM(COUNTIF(H3,{"*Piano*"})),"**Progressive House**House**Dance Pop**",IF(SUM(COUNTIF(H3,{"*EDM*"})),"**Progressive House**House**EDM**",IF(H3="","","")))))))</f>
        <v>**Deep House**Progressive House**House**</v>
      </c>
      <c r="AH3" s="25" t="str">
        <f t="shared" si="6"/>
        <v>Original</v>
      </c>
      <c r="AI3" s="25" t="str">
        <f t="array" ref="AI3">IF(SUM(COUNTIF(H3,{"*Deep*";"*Bass*";"*Slap*"})),"**Tiësto**Imanbek**",IF(SUM(COUNTIF(H3,{"*Lo-Fi*"})),"**L.Dre**Yasumu**",IF(SUM(COUNTIF(H3,{"*Tech*"})),"**Mau P**Gorgon City**",IF(SUM(COUNTIF(H3,{"*Indie/Chill Dance*"})),"**Felix Jaehn**Lost Frequencies**",IF(SUM(COUNTIF(H3,{"*Piano*"})),"**Avicii**Eric Prydz**",IF(SUM(COUNTIF(H3,{"*EDM*"})),"**David Guetta**Swedish House Mafia**",IF(H3="","","")))))))</f>
        <v>**Tiësto**Imanbek**</v>
      </c>
      <c r="AJ3" s="25" t="str">
        <f t="array" aca="1" ref="AJ3" ca="1">+IFERROR(INDEX(INDIRECT((_xlfn.XLOOKUP(H3,map_country[Genre],map_country[country]))),RANK(INDIRECT((_xlfn.XLOOKUP(H3,map_country[Genre],map_country[min])),FALSE),INDIRECT((_xlfn.XLOOKUP(H3,map_country[Genre],map_country[rand]))),1)),"")</f>
        <v/>
      </c>
      <c r="AK3" s="25" t="str">
        <f t="array" ref="AK3">IF(SUM(COUNTIF(H3,{"*Deep*";"*Bass*";"*Slap*"})),"Cool,Upbeat,Dark",IF(SUM(COUNTIF(H3,{"*Lo-Fi*"})),"Sexy,Relaxing,Romantic",IF(SUM(COUNTIF(H3,{"*Tech*"})),"Cool,Upbeat,Dark",IF(SUM(COUNTIF(H3,{"*Indie/Chill Dance*"})),"Cool,Upbeat,Light",IF(SUM(COUNTIF(H3,{"*Piano*"})),"Cool,Upbeat,Light",IF(SUM(COUNTIF(H3,{"*EDM*"})),"Cool,Upbeat,Happy Mood",IF(H3="","","")))))))</f>
        <v>Cool,Upbeat,Dark</v>
      </c>
      <c r="AL3" s="25" t="str">
        <f t="array" ref="AL3">IF(SUM(COUNTIF(H3,{"*Deep*";"*Bass*";"*Slap*"})),"Hard &amp; Heavy,Chilling Out &amp; Lounging,Happy &amp; Upbeat",IF(SUM(COUNTIF(H3,{"*Lo-Fi*"})),"Work, Study &amp; Reading,Chilling Out &amp; Lounging,Relaxed &amp; Laid Back",IF(SUM(COUNTIF(H3,{"*Tech*"})),"Hard &amp; Heavy,Chilling Out &amp; Lounging,Happy &amp; Upbeat",IF(SUM(COUNTIF(H3,{"*Indie/Chill Dance*"})),"Hard &amp; Heavy,Chilling Out &amp; Lounging,Happy &amp; Upbeat",IF(SUM(COUNTIF(H3,{"*Piano*"})),"Hard &amp; Heavy,Chilling Out &amp; Lounging,Happy &amp; Upbeat",IF(SUM(COUNTIF(H3,{"*EDM*"})),"Hard &amp; Heavy,Chilling Out &amp; Lounging,Happy &amp; Upbeat",IF(H3="","","")))))))</f>
        <v>Hard &amp; Heavy,Chilling Out &amp; Lounging,Happy &amp; Upbeat</v>
      </c>
      <c r="AN3" s="20" t="str">
        <f t="shared" ref="AN3:AN8" si="7">TRIM(SUBSTITUTE(SUBSTITUTE(SUBSTITUTE(A4,"&amp;",","),"feat",","),".",""))</f>
        <v>Black Winter , Primary Disguise</v>
      </c>
      <c r="AO3" s="20" t="str">
        <f ca="1">IFERROR(_xlfn.TEXTBEFORE(AN3,","),AN3)</f>
        <v>Black Winter , Primary Disguise</v>
      </c>
      <c r="AP3" s="20" t="str">
        <f ca="1">IFERROR(TRIM(SUBSTITUTE(SUBSTITUTE(SUBSTITUTE(SUBSTITUTE(_xlfn.TEXTAFTER(AN3,",",1),AQ3,""),AR3,""),AS3,""),",","")),"")</f>
        <v/>
      </c>
      <c r="AQ3" s="20" t="str">
        <f ca="1">IFERROR(SUBSTITUTE(SUBSTITUTE(SUBSTITUTE(_xlfn.TEXTAFTER(AN3,",",2),AR3,""),",",""),AS3,""),"")</f>
        <v/>
      </c>
      <c r="AR3" s="20" t="str">
        <f ca="1">IFERROR(SUBSTITUTE(SUBSTITUTE(_xlfn.TEXTAFTER(AN3,",",3),AS3,""),",",""),"")</f>
        <v/>
      </c>
      <c r="AS3" s="20" t="str">
        <f ca="1">IFERROR(_xlfn.TEXTAFTER(AN3,",",4),"")</f>
        <v/>
      </c>
      <c r="AV3" s="11">
        <v>2</v>
      </c>
      <c r="AW3" s="8" t="s">
        <v>36</v>
      </c>
      <c r="AX3" s="12" t="s">
        <v>47</v>
      </c>
      <c r="AY3" t="e">
        <f ca="1">+_xlfn.TEXTBEFORE(text_list[[#This Row],[Text]],"''''!",,0)</f>
        <v>#NAME?</v>
      </c>
      <c r="AZ3" t="e">
        <f ca="1">+_xlfn.TEXTBEFORE(_xlfn.TEXTAFTER(text_list[[#This Row],[Text]],"'''!"),"Label")</f>
        <v>#NAME?</v>
      </c>
      <c r="BA3" t="e">
        <f ca="1">+_xlfn.TEXTAFTER(text_list[[#This Row],[Text]],text_list[[#This Row],[Type based on genre]])</f>
        <v>#NAME?</v>
      </c>
      <c r="BB3" t="s">
        <v>42</v>
      </c>
      <c r="BE3" t="s">
        <v>48</v>
      </c>
      <c r="BF3" t="s">
        <v>36</v>
      </c>
      <c r="BG3">
        <f ca="1">+RAND()</f>
        <v>0.64094287849993969</v>
      </c>
      <c r="BI3" t="s">
        <v>49</v>
      </c>
      <c r="BJ3" t="s">
        <v>50</v>
      </c>
      <c r="BK3">
        <f ca="1">+RAND()</f>
        <v>0.85924161780589325</v>
      </c>
      <c r="BL3">
        <f ca="1">+tech[[#This Row],[Rand]]</f>
        <v>0.85924161780589325</v>
      </c>
      <c r="BN3" t="s">
        <v>51</v>
      </c>
      <c r="BO3" t="s">
        <v>52</v>
      </c>
      <c r="BP3">
        <f ca="1">+RAND()</f>
        <v>0.81620800739512722</v>
      </c>
      <c r="BR3" t="s">
        <v>53</v>
      </c>
      <c r="BS3" t="s">
        <v>54</v>
      </c>
      <c r="BT3">
        <f ca="1">+RAND()</f>
        <v>0.37091796109967468</v>
      </c>
      <c r="BV3" t="s">
        <v>55</v>
      </c>
      <c r="BW3" t="s">
        <v>56</v>
      </c>
      <c r="BX3">
        <f ca="1">+RAND()</f>
        <v>0.10622842783799824</v>
      </c>
      <c r="BZ3" t="s">
        <v>57</v>
      </c>
      <c r="CA3" t="s">
        <v>58</v>
      </c>
      <c r="CB3">
        <f ca="1">+RAND()</f>
        <v>0.76222796670386617</v>
      </c>
      <c r="CD3" t="s">
        <v>55</v>
      </c>
      <c r="CE3" t="s">
        <v>59</v>
      </c>
      <c r="CF3">
        <f ca="1">+RAND()</f>
        <v>0.31776596340255647</v>
      </c>
    </row>
    <row r="4" spans="1:323" x14ac:dyDescent="0.25">
      <c r="A4" t="s">
        <v>60</v>
      </c>
      <c r="B4" t="s">
        <v>61</v>
      </c>
      <c r="C4" t="s">
        <v>62</v>
      </c>
      <c r="D4" t="s">
        <v>63</v>
      </c>
      <c r="E4" t="s">
        <v>64</v>
      </c>
      <c r="F4" s="3">
        <v>5063113559761</v>
      </c>
      <c r="G4" t="s">
        <v>65</v>
      </c>
      <c r="H4" s="7" t="s">
        <v>59</v>
      </c>
      <c r="I4" t="s">
        <v>37</v>
      </c>
      <c r="J4" t="s">
        <v>66</v>
      </c>
      <c r="K4" t="s">
        <v>67</v>
      </c>
      <c r="L4" t="s">
        <v>40</v>
      </c>
      <c r="M4">
        <v>1</v>
      </c>
      <c r="N4" t="s">
        <v>68</v>
      </c>
      <c r="O4" s="25" t="str">
        <f t="shared" si="0"/>
        <v>Single</v>
      </c>
      <c r="P4" s="25" t="str">
        <f t="shared" si="1"/>
        <v>High_Priority</v>
      </c>
      <c r="Q4" s="25" t="str">
        <f t="shared" si="2"/>
        <v>Single</v>
      </c>
      <c r="R4" s="25" t="str">
        <f t="array" ref="R4">IF(SUM(COUNTIF(H4,{"*Deep*";"*Bass*";"*Slap*"})),"Citas:Deep House",IF(SUM(COUNTIF(H4,{"*Lo-Fi*"})),"Citas:Lo-Fi",IF(SUM(COUNTIF(H4,{"*Tech*"})),"Citas:Tech House",IF(SUM(COUNTIF(H4,{"*Indie/Chill Dance*"})),"Citas:Indie/Chill Dance",IF(SUM(COUNTIF(H4,{"*Piano*"})),"Citas:Piano House",IF(SUM(COUNTIF(H4,{"*EDM*"})),"edm dance",IF(H4="","","")))))))</f>
        <v>edm dance</v>
      </c>
      <c r="S4" s="25" t="str">
        <f t="array" ref="S4">IF(SUM(COUNTIF(H4,{"*Deep*";"*Bass*";"*Slap*"})),"energetic",IF(SUM(COUNTIF(H4,{"*Lo-Fi*"})),"calm",IF(SUM(COUNTIF(H4,{"*Tech*"})),"energetic",IF(SUM(COUNTIF(H4,{"*Indie/Chill Dance*"})),"chillout",IF(SUM(COUNTIF(H4,{"*Piano*"})),"energetic",IF(SUM(COUNTIF(H4,{"*EDM*"})),"energetic",IF(H4="","","")))))))</f>
        <v>energetic</v>
      </c>
      <c r="T4" s="25" t="str">
        <f t="array" ref="T4">IF(SUM(COUNTIF(H4,{"*Tech*";"*EDM*";"*Indie*";"*Deep*";"*Piano*";"*Slap*";"*Brazilian Bass*"})),"Song would perfectly fit in any dance mood playlist! Label will invest up to 5000 EUR advertising on facebook and instagram ads aswell as promoting it over label and label partners playlists, radio stations and press.",IF(SUM(COUNTIF(H4,{"*Lo-Fi*"})),"Song would perfectly fit in any Lo-Fi mood playlist! Label will invest up to 5000 EUR advertising on facebook and instagram ads aswell as promoting it over label and label partners playlists, radio stations and press.",IF(H4="","","")))</f>
        <v>Song would perfectly fit in any dance mood playlist! Label will invest up to 5000 EUR advertising on facebook and instagram ads aswell as promoting it over label and label partners playlists, radio stations and press.</v>
      </c>
      <c r="U4" s="25" t="str">
        <f t="shared" si="3"/>
        <v>SGL</v>
      </c>
      <c r="V4" s="25" t="str">
        <f t="shared" si="4"/>
        <v>Electronic, Dance, Deep House</v>
      </c>
      <c r="X4" s="25" t="str">
        <f t="array" aca="1" ref="X4" ca="1">+IF(H4="LO-FI","",IFERROR(INDEX(INDIRECT((_xlfn.XLOOKUP(H4,map_location[Genre],map_location[location]))),RANK(INDIRECT((_xlfn.XLOOKUP(H4,map_location[Genre],map_location[min])),FALSE),INDIRECT((_xlfn.XLOOKUP(H4,map_location[Genre],map_location[rand]))),1)),""))</f>
        <v/>
      </c>
      <c r="Y4" s="25" t="str">
        <f t="array" ref="Y4">IF(SUM(COUNTIF(H4,{"*Deep*";"*Bass*";"*Slap*"})),"**Deep House**House**Dance**",IF(SUM(COUNTIF(H4,{"*Lo-Fi*"})),"**Lo-Fi Pop**Lo-Fi Beats**Lo-Fi**",IF(SUM(COUNTIF(H4,{"*Tech*"})),"**Deep House**Tech House**Dance**",IF(SUM(COUNTIF(H4,{"*Indie/Chill Dance*"})),"**Indie Dance**Indie Electronic**Dance Pop**",IF(SUM(COUNTIF(H4,{"*Piano*"})),"**House**Electro house**Melodic House**",IF(SUM(COUNTIF(H4,{"*EDM*"})),"**EDM**Electro house**Dance Pop**",IF(H4="","","")))))))</f>
        <v>**EDM**Electro house**Dance Pop**</v>
      </c>
      <c r="Z4" s="25" t="str">
        <f t="array" ref="Z4">IF(SUM(COUNTIF(H4,{"*Deep*";"*Bass*";"*Slap*"})),"Energetic,Happy",IF(SUM(COUNTIF(H4,{"*Lo-Fi*"})),"Romantic,Chill",IF(SUM(COUNTIF(H4,{"*Tech*"})),"Energetic,Happy",IF(SUM(COUNTIF(H4,{"*Indie/Chill Dance*"})),"Energetic,Chill",IF(SUM(COUNTIF(H4,{"*Piano*"})),"Energetic,Happy",IF(SUM(COUNTIF(H4,{"*EDM*"})),"Energetic,Happy",IF(H4="","","")))))))</f>
        <v>Energetic,Happy</v>
      </c>
      <c r="AA4" s="25" t="str">
        <f t="array" ref="AA4">IF(SUM(COUNTIF(H4,{"*Deep*";"*Bass*";"*Slap*"})),"None of these",IF(SUM(COUNTIF(H4,{"*Lo-Fi*"})),"Holiday,Beats",IF(SUM(COUNTIF(H4,{"*Tech*"})),"None of these",IF(SUM(COUNTIF(H4,{"*Indie/Chill Dance*"})),"None of these",IF(SUM(COUNTIF(H4,{"*Piano*"})),"None of these",IF(SUM(COUNTIF(H4,{"*EDM*"})),"None of these",IF(H4="","","")))))))</f>
        <v>None of these</v>
      </c>
      <c r="AB4" s="25" t="str">
        <f t="array" ref="AB4">IF(SUM(COUNTIF(H4,{"*Deep*";"*Bass*";"*Slap*"})),"Samples,Synthesizer,Bass Guitar,Piano,Drum Kit,Electric Guitar",IF(SUM(COUNTIF(H4,{"*Lo-Fi*"})),"Samples,Synthesizer,Bass Guitar,Piano,Drum Kit,Electric Guitar",IF(SUM(COUNTIF(H4,{"*Tech*"})),"Samples,Synthesizer,Bass Guitar,Piano,Drum Kit,Electric Guitar",IF(SUM(COUNTIF(H4,{"*Indie/Chill Dance*"})),"Samples,Synthesizer,Bass Guitar,Piano,Drum Kit,Electric Guitar",IF(SUM(COUNTIF(H4,{"*Piano*"})),"Samples,Synthesizer,Bass Guitar,Piano,Drum Kit,Electric Guitar",IF(SUM(COUNTIF(H4,{"*EDM*"})),"Samples,Synthesizer,Bass Guitar,Piano,Drum Kit,Electric Guitar",IF(H4="","","")))))))</f>
        <v>Samples,Synthesizer,Bass Guitar,Piano,Drum Kit,Electric Guitar</v>
      </c>
      <c r="AC4" s="25" t="str">
        <f t="array" ref="AC4">IF(N4="Cover","Yes",IF(SUM(COUNTIF(N4,{"*Radio/Extended*";"*Radio*";"*Remix*"})),"No",""))</f>
        <v>No</v>
      </c>
      <c r="AD4" s="25" t="str">
        <f t="array" ref="AD4">IF(N4="Remix","Yes",IF(SUM(COUNTIF(N4,{"*Radio/Extended*";"*Radio*";"*Cover*"})),"No",""))</f>
        <v>No</v>
      </c>
      <c r="AE4" s="25" t="str">
        <f t="shared" si="5"/>
        <v>**English**</v>
      </c>
      <c r="AF4" s="25" t="str">
        <f t="array" aca="1" ref="AF4" ca="1">+TRIM(SUBSTITUTE(SUBSTITUTE(SUBSTITUTE(SUBSTITUTE(IFERROR(AO4&amp;" "&amp;+_xlfn.XLOOKUP(((SUM(LEN(AN4))-SUM(LEN(SUBSTITUTE(AN4,",",""))))/LEN(",")+1)&amp;H4,AV:AV&amp;AW:AW,AY:AY)&amp;CHAR(34)&amp;B4&amp;CHAR(34)&amp;"!"&amp;_xlfn.XLOOKUP(H4,text_list[Genre],text_list[Type based on genre]&amp;text_list[Label]),""),"Second",AP4),"Third",AQ4),"Forth",AR4),"Fifth",AS4&amp;" "))</f>
        <v/>
      </c>
      <c r="AG4" s="25" t="str">
        <f t="array" ref="AG4">IF(SUM(COUNTIF(H4,{"*Deep*";"*Bass*";"*Slap*"})),"**Deep House**Progressive House**House**",IF(SUM(COUNTIF(H4,{"*Lo-Fi*"})),"**Lo-Fi Hip Hop**Indie &amp; Lo Fi**Lounge**",IF(SUM(COUNTIF(H4,{"*Tech*"})),"**Tech House**Techno**Future House**",IF(SUM(COUNTIF(H4,{"*Indie/Chill Dance*"})),"**Chill Electronic**Indie Dance**Ambient**",IF(SUM(COUNTIF(H4,{"*Piano*"})),"**Progressive House**House**Dance Pop**",IF(SUM(COUNTIF(H4,{"*EDM*"})),"**Progressive House**House**EDM**",IF(H4="","","")))))))</f>
        <v>**Progressive House**House**EDM**</v>
      </c>
      <c r="AH4" s="25" t="str">
        <f t="shared" si="6"/>
        <v>Original</v>
      </c>
      <c r="AI4" s="25" t="str">
        <f t="array" ref="AI4">IF(SUM(COUNTIF(H4,{"*Deep*";"*Bass*";"*Slap*"})),"**Tiësto**Imanbek**",IF(SUM(COUNTIF(H4,{"*Lo-Fi*"})),"**L.Dre**Yasumu**",IF(SUM(COUNTIF(H4,{"*Tech*"})),"**Mau P**Gorgon City**",IF(SUM(COUNTIF(H4,{"*Indie/Chill Dance*"})),"**Felix Jaehn**Lost Frequencies**",IF(SUM(COUNTIF(H4,{"*Piano*"})),"**Avicii**Eric Prydz**",IF(SUM(COUNTIF(H4,{"*EDM*"})),"**David Guetta**Swedish House Mafia**",IF(H4="","","")))))))</f>
        <v>**David Guetta**Swedish House Mafia**</v>
      </c>
      <c r="AJ4" s="25" t="str">
        <f t="array" aca="1" ref="AJ4" ca="1">+IFERROR(INDEX(INDIRECT((_xlfn.XLOOKUP(H4,map_country[Genre],map_country[country]))),RANK(INDIRECT((_xlfn.XLOOKUP(H4,map_country[Genre],map_country[min])),FALSE),INDIRECT((_xlfn.XLOOKUP(H4,map_country[Genre],map_country[rand]))),1)),"")</f>
        <v/>
      </c>
      <c r="AK4" s="25" t="str">
        <f t="array" ref="AK4">IF(SUM(COUNTIF(H4,{"*Deep*";"*Bass*";"*Slap*"})),"Cool,Upbeat,Dark",IF(SUM(COUNTIF(H4,{"*Lo-Fi*"})),"Sexy,Relaxing,Romantic",IF(SUM(COUNTIF(H4,{"*Tech*"})),"Cool,Upbeat,Dark",IF(SUM(COUNTIF(H4,{"*Indie/Chill Dance*"})),"Cool,Upbeat,Light",IF(SUM(COUNTIF(H4,{"*Piano*"})),"Cool,Upbeat,Light",IF(SUM(COUNTIF(H4,{"*EDM*"})),"Cool,Upbeat,Happy Mood",IF(H4="","","")))))))</f>
        <v>Cool,Upbeat,Happy Mood</v>
      </c>
      <c r="AL4" s="25" t="str">
        <f t="array" ref="AL4">IF(SUM(COUNTIF(H4,{"*Deep*";"*Bass*";"*Slap*"})),"Hard &amp; Heavy,Chilling Out &amp; Lounging,Happy &amp; Upbeat",IF(SUM(COUNTIF(H4,{"*Lo-Fi*"})),"Work, Study &amp; Reading,Chilling Out &amp; Lounging,Relaxed &amp; Laid Back",IF(SUM(COUNTIF(H4,{"*Tech*"})),"Hard &amp; Heavy,Chilling Out &amp; Lounging,Happy &amp; Upbeat",IF(SUM(COUNTIF(H4,{"*Indie/Chill Dance*"})),"Hard &amp; Heavy,Chilling Out &amp; Lounging,Happy &amp; Upbeat",IF(SUM(COUNTIF(H4,{"*Piano*"})),"Hard &amp; Heavy,Chilling Out &amp; Lounging,Happy &amp; Upbeat",IF(SUM(COUNTIF(H4,{"*EDM*"})),"Hard &amp; Heavy,Chilling Out &amp; Lounging,Happy &amp; Upbeat",IF(H4="","","")))))))</f>
        <v>Hard &amp; Heavy,Chilling Out &amp; Lounging,Happy &amp; Upbeat</v>
      </c>
      <c r="AN4" s="20" t="str">
        <f t="shared" si="7"/>
        <v>Stone Forte</v>
      </c>
      <c r="AO4" s="20" t="str">
        <f ca="1">IFERROR(_xlfn.TEXTBEFORE(AN4,","),AN4)</f>
        <v>Stone Forte</v>
      </c>
      <c r="AP4" s="20" t="str">
        <f ca="1">IFERROR(TRIM(SUBSTITUTE(SUBSTITUTE(SUBSTITUTE(SUBSTITUTE(_xlfn.TEXTAFTER(AN4,",",1),AQ4,""),AR4,""),AS4,""),",","")),"")</f>
        <v/>
      </c>
      <c r="AQ4" s="20" t="str">
        <f ca="1">IFERROR(SUBSTITUTE(SUBSTITUTE(SUBSTITUTE(_xlfn.TEXTAFTER(AN4,",",2),AR4,""),",",""),AS4,""),"")</f>
        <v/>
      </c>
      <c r="AR4" s="20" t="str">
        <f ca="1">IFERROR(SUBSTITUTE(SUBSTITUTE(_xlfn.TEXTAFTER(AN4,",",3),AS4,""),",",""),"")</f>
        <v/>
      </c>
      <c r="AS4" s="20" t="str">
        <f ca="1">IFERROR(_xlfn.TEXTAFTER(AN4,",",4),"")</f>
        <v/>
      </c>
      <c r="AV4" s="11">
        <v>3</v>
      </c>
      <c r="AW4" s="8" t="s">
        <v>36</v>
      </c>
      <c r="AX4" s="12" t="s">
        <v>69</v>
      </c>
      <c r="AY4" t="e">
        <f ca="1">+_xlfn.TEXTBEFORE(text_list[[#This Row],[Text]],"''''!",,0)</f>
        <v>#NAME?</v>
      </c>
      <c r="AZ4" t="e">
        <f ca="1">+_xlfn.TEXTBEFORE(_xlfn.TEXTAFTER(text_list[[#This Row],[Text]],"'''!"),"Label")</f>
        <v>#NAME?</v>
      </c>
      <c r="BA4" t="e">
        <f ca="1">+_xlfn.TEXTAFTER(text_list[[#This Row],[Text]],text_list[[#This Row],[Type based on genre]])</f>
        <v>#NAME?</v>
      </c>
      <c r="BB4" t="s">
        <v>42</v>
      </c>
      <c r="BE4" t="s">
        <v>70</v>
      </c>
      <c r="BF4" t="s">
        <v>36</v>
      </c>
      <c r="BG4">
        <f ca="1">+RAND()</f>
        <v>0.26649391288405377</v>
      </c>
      <c r="BI4" t="s">
        <v>71</v>
      </c>
      <c r="BJ4" t="s">
        <v>50</v>
      </c>
      <c r="BK4">
        <f ca="1">+RAND()</f>
        <v>0.76051333646156971</v>
      </c>
      <c r="BL4">
        <f ca="1">+tech[[#This Row],[Rand]]</f>
        <v>0.76051333646156971</v>
      </c>
      <c r="BN4" t="s">
        <v>72</v>
      </c>
      <c r="BO4" t="s">
        <v>52</v>
      </c>
      <c r="BP4">
        <f ca="1">+RAND()</f>
        <v>0.19405008607861018</v>
      </c>
      <c r="BR4" t="s">
        <v>73</v>
      </c>
      <c r="BS4" t="s">
        <v>54</v>
      </c>
      <c r="BT4">
        <f ca="1">+RAND()</f>
        <v>0.56974485514672613</v>
      </c>
      <c r="BV4" t="s">
        <v>48</v>
      </c>
      <c r="BW4" t="s">
        <v>56</v>
      </c>
      <c r="BX4">
        <f ca="1">+RAND()</f>
        <v>0.78485173965494515</v>
      </c>
      <c r="BZ4" t="s">
        <v>74</v>
      </c>
      <c r="CA4" t="s">
        <v>58</v>
      </c>
      <c r="CB4">
        <f ca="1">+RAND()</f>
        <v>9.4732311223286292E-2</v>
      </c>
      <c r="CD4" t="s">
        <v>48</v>
      </c>
      <c r="CE4" t="s">
        <v>59</v>
      </c>
      <c r="CF4">
        <f ca="1">+RAND()</f>
        <v>0.3698041823470789</v>
      </c>
    </row>
    <row r="5" spans="1:323" x14ac:dyDescent="0.25">
      <c r="A5" t="s">
        <v>75</v>
      </c>
      <c r="B5" t="s">
        <v>76</v>
      </c>
      <c r="C5" t="s">
        <v>77</v>
      </c>
      <c r="D5" t="s">
        <v>78</v>
      </c>
      <c r="E5" t="s">
        <v>79</v>
      </c>
      <c r="F5" s="3">
        <v>5059741316203</v>
      </c>
      <c r="G5" t="s">
        <v>80</v>
      </c>
      <c r="H5" s="7" t="s">
        <v>50</v>
      </c>
      <c r="I5" t="s">
        <v>81</v>
      </c>
      <c r="J5" t="s">
        <v>82</v>
      </c>
      <c r="K5" t="s">
        <v>83</v>
      </c>
      <c r="L5" t="s">
        <v>40</v>
      </c>
      <c r="M5">
        <v>2</v>
      </c>
      <c r="N5" t="s">
        <v>13</v>
      </c>
      <c r="O5" s="25" t="str">
        <f t="shared" si="0"/>
        <v>Single</v>
      </c>
      <c r="P5" s="25" t="str">
        <f t="shared" si="1"/>
        <v>Priority</v>
      </c>
      <c r="Q5" s="25" t="str">
        <f t="shared" si="2"/>
        <v>Single</v>
      </c>
      <c r="R5" s="25" t="str">
        <f t="array" ref="R5">IF(SUM(COUNTIF(H5,{"*Deep*";"*Bass*";"*Slap*"})),"Citas:Deep House",IF(SUM(COUNTIF(H5,{"*Lo-Fi*"})),"Citas:Lo-Fi",IF(SUM(COUNTIF(H5,{"*Tech*"})),"Citas:Tech House",IF(SUM(COUNTIF(H5,{"*Indie/Chill Dance*"})),"Citas:Indie/Chill Dance",IF(SUM(COUNTIF(H5,{"*Piano*"})),"Citas:Piano House",IF(SUM(COUNTIF(H5,{"*EDM*"})),"edm dance",IF(H5="","","")))))))</f>
        <v>Citas:Tech House</v>
      </c>
      <c r="S5" s="25" t="str">
        <f t="array" ref="S5">IF(SUM(COUNTIF(H5,{"*Deep*";"*Bass*";"*Slap*"})),"energetic",IF(SUM(COUNTIF(H5,{"*Lo-Fi*"})),"calm",IF(SUM(COUNTIF(H5,{"*Tech*"})),"energetic",IF(SUM(COUNTIF(H5,{"*Indie/Chill Dance*"})),"chillout",IF(SUM(COUNTIF(H5,{"*Piano*"})),"energetic",IF(SUM(COUNTIF(H5,{"*EDM*"})),"energetic",IF(H5="","","")))))))</f>
        <v>energetic</v>
      </c>
      <c r="T5" s="25" t="str">
        <f t="array" ref="T5">IF(SUM(COUNTIF(H5,{"*Tech*";"*EDM*";"*Indie*";"*Deep*";"*Piano*";"*Slap*";"*Brazilian Bass*"})),"Song would perfectly fit in any dance mood playlist! Label will invest up to 5000 EUR advertising on facebook and instagram ads aswell as promoting it over label and label partners playlists, radio stations and press.",IF(SUM(COUNTIF(H5,{"*Lo-Fi*"})),"Song would perfectly fit in any Lo-Fi mood playlist! Label will invest up to 5000 EUR advertising on facebook and instagram ads aswell as promoting it over label and label partners playlists, radio stations and press.",IF(H5="","","")))</f>
        <v>Song would perfectly fit in any dance mood playlist! Label will invest up to 5000 EUR advertising on facebook and instagram ads aswell as promoting it over label and label partners playlists, radio stations and press.</v>
      </c>
      <c r="U5" s="25" t="str">
        <f t="shared" si="3"/>
        <v>SGL</v>
      </c>
      <c r="V5" s="25" t="str">
        <f t="shared" si="4"/>
        <v>Electronic, Dance, Deep House</v>
      </c>
      <c r="X5" s="25" t="str">
        <f t="array" aca="1" ref="X5" ca="1">+IF(H5="LO-FI","",IFERROR(INDEX(INDIRECT((_xlfn.XLOOKUP(H5,map_location[Genre],map_location[location]))),RANK(INDIRECT((_xlfn.XLOOKUP(H5,map_location[Genre],map_location[min])),FALSE),INDIRECT((_xlfn.XLOOKUP(H5,map_location[Genre],map_location[rand]))),1)),""))</f>
        <v/>
      </c>
      <c r="Y5" s="25" t="str">
        <f t="array" ref="Y5">IF(SUM(COUNTIF(H5,{"*Deep*";"*Bass*";"*Slap*"})),"**Deep House**House**Dance**",IF(SUM(COUNTIF(H5,{"*Lo-Fi*"})),"**Lo-Fi Pop**Lo-Fi Beats**Lo-Fi**",IF(SUM(COUNTIF(H5,{"*Tech*"})),"**Deep House**Tech House**Dance**",IF(SUM(COUNTIF(H5,{"*Indie/Chill Dance*"})),"**Indie Dance**Indie Electronic**Dance Pop**",IF(SUM(COUNTIF(H5,{"*Piano*"})),"**House**Electro house**Melodic House**",IF(SUM(COUNTIF(H5,{"*EDM*"})),"**EDM**Electro house**Dance Pop**",IF(H5="","","")))))))</f>
        <v>**Deep House**Tech House**Dance**</v>
      </c>
      <c r="Z5" s="25" t="str">
        <f t="array" ref="Z5">IF(SUM(COUNTIF(H5,{"*Deep*";"*Bass*";"*Slap*"})),"Energetic,Happy",IF(SUM(COUNTIF(H5,{"*Lo-Fi*"})),"Romantic,Chill",IF(SUM(COUNTIF(H5,{"*Tech*"})),"Energetic,Happy",IF(SUM(COUNTIF(H5,{"*Indie/Chill Dance*"})),"Energetic,Chill",IF(SUM(COUNTIF(H5,{"*Piano*"})),"Energetic,Happy",IF(SUM(COUNTIF(H5,{"*EDM*"})),"Energetic,Happy",IF(H5="","","")))))))</f>
        <v>Energetic,Happy</v>
      </c>
      <c r="AA5" s="25" t="str">
        <f t="array" ref="AA5">IF(SUM(COUNTIF(H5,{"*Deep*";"*Bass*";"*Slap*"})),"None of these",IF(SUM(COUNTIF(H5,{"*Lo-Fi*"})),"Holiday,Beats",IF(SUM(COUNTIF(H5,{"*Tech*"})),"None of these",IF(SUM(COUNTIF(H5,{"*Indie/Chill Dance*"})),"None of these",IF(SUM(COUNTIF(H5,{"*Piano*"})),"None of these",IF(SUM(COUNTIF(H5,{"*EDM*"})),"None of these",IF(H5="","","")))))))</f>
        <v>None of these</v>
      </c>
      <c r="AB5" s="25" t="str">
        <f t="array" ref="AB5">IF(SUM(COUNTIF(H5,{"*Deep*";"*Bass*";"*Slap*"})),"Samples,Synthesizer,Bass Guitar,Piano,Drum Kit,Electric Guitar",IF(SUM(COUNTIF(H5,{"*Lo-Fi*"})),"Samples,Synthesizer,Bass Guitar,Piano,Drum Kit,Electric Guitar",IF(SUM(COUNTIF(H5,{"*Tech*"})),"Samples,Synthesizer,Bass Guitar,Piano,Drum Kit,Electric Guitar",IF(SUM(COUNTIF(H5,{"*Indie/Chill Dance*"})),"Samples,Synthesizer,Bass Guitar,Piano,Drum Kit,Electric Guitar",IF(SUM(COUNTIF(H5,{"*Piano*"})),"Samples,Synthesizer,Bass Guitar,Piano,Drum Kit,Electric Guitar",IF(SUM(COUNTIF(H5,{"*EDM*"})),"Samples,Synthesizer,Bass Guitar,Piano,Drum Kit,Electric Guitar",IF(H5="","","")))))))</f>
        <v>Samples,Synthesizer,Bass Guitar,Piano,Drum Kit,Electric Guitar</v>
      </c>
      <c r="AC5" s="25" t="str">
        <f t="array" ref="AC5">IF(N5="Cover","Yes",IF(SUM(COUNTIF(N5,{"*Radio/Extended*";"*Radio*";"*Remix*"})),"No",""))</f>
        <v>No</v>
      </c>
      <c r="AD5" s="25" t="str">
        <f t="array" ref="AD5">IF(N5="Remix","Yes",IF(SUM(COUNTIF(N5,{"*Radio/Extended*";"*Radio*";"*Cover*"})),"No",""))</f>
        <v>No</v>
      </c>
      <c r="AE5" s="25" t="str">
        <f t="shared" si="5"/>
        <v>**English**</v>
      </c>
      <c r="AF5" s="25" t="str">
        <f t="array" aca="1" ref="AF5" ca="1">+TRIM(SUBSTITUTE(SUBSTITUTE(SUBSTITUTE(SUBSTITUTE(IFERROR(AO5&amp;" "&amp;+_xlfn.XLOOKUP(((SUM(LEN(AN5))-SUM(LEN(SUBSTITUTE(AN5,",",""))))/LEN(",")+1)&amp;H5,AV:AV&amp;AW:AW,AY:AY)&amp;CHAR(34)&amp;B5&amp;CHAR(34)&amp;"!"&amp;_xlfn.XLOOKUP(H5,text_list[Genre],text_list[Type based on genre]&amp;text_list[Label]),""),"Second",AP5),"Third",AQ5),"Forth",AR5),"Fifth",AS5&amp;" "))</f>
        <v/>
      </c>
      <c r="AG5" s="25" t="str">
        <f t="array" ref="AG5">IF(SUM(COUNTIF(H5,{"*Deep*";"*Bass*";"*Slap*"})),"**Deep House**Progressive House**House**",IF(SUM(COUNTIF(H5,{"*Lo-Fi*"})),"**Lo-Fi Hip Hop**Indie &amp; Lo Fi**Lounge**",IF(SUM(COUNTIF(H5,{"*Tech*"})),"**Tech House**Techno**Future House**",IF(SUM(COUNTIF(H5,{"*Indie/Chill Dance*"})),"**Chill Electronic**Indie Dance**Ambient**",IF(SUM(COUNTIF(H5,{"*Piano*"})),"**Progressive House**House**Dance Pop**",IF(SUM(COUNTIF(H5,{"*EDM*"})),"**Progressive House**House**EDM**",IF(H5="","","")))))))</f>
        <v>**Tech House**Techno**Future House**</v>
      </c>
      <c r="AH5" s="25" t="str">
        <f t="shared" si="6"/>
        <v>Original</v>
      </c>
      <c r="AI5" s="25" t="str">
        <f t="array" ref="AI5">IF(SUM(COUNTIF(H5,{"*Deep*";"*Bass*";"*Slap*"})),"**Tiësto**Imanbek**",IF(SUM(COUNTIF(H5,{"*Lo-Fi*"})),"**L.Dre**Yasumu**",IF(SUM(COUNTIF(H5,{"*Tech*"})),"**Mau P**Gorgon City**",IF(SUM(COUNTIF(H5,{"*Indie/Chill Dance*"})),"**Felix Jaehn**Lost Frequencies**",IF(SUM(COUNTIF(H5,{"*Piano*"})),"**Avicii**Eric Prydz**",IF(SUM(COUNTIF(H5,{"*EDM*"})),"**David Guetta**Swedish House Mafia**",IF(H5="","","")))))))</f>
        <v>**Mau P**Gorgon City**</v>
      </c>
      <c r="AJ5" s="25" t="str">
        <f t="array" aca="1" ref="AJ5" ca="1">+IFERROR(INDEX(INDIRECT((_xlfn.XLOOKUP(H5,map_country[Genre],map_country[country]))),RANK(INDIRECT((_xlfn.XLOOKUP(H5,map_country[Genre],map_country[min])),FALSE),INDIRECT((_xlfn.XLOOKUP(H5,map_country[Genre],map_country[rand]))),1)),"")</f>
        <v/>
      </c>
      <c r="AK5" s="25" t="str">
        <f t="array" ref="AK5">IF(SUM(COUNTIF(H5,{"*Deep*";"*Bass*";"*Slap*"})),"Cool,Upbeat,Dark",IF(SUM(COUNTIF(H5,{"*Lo-Fi*"})),"Sexy,Relaxing,Romantic",IF(SUM(COUNTIF(H5,{"*Tech*"})),"Cool,Upbeat,Dark",IF(SUM(COUNTIF(H5,{"*Indie/Chill Dance*"})),"Cool,Upbeat,Light",IF(SUM(COUNTIF(H5,{"*Piano*"})),"Cool,Upbeat,Light",IF(SUM(COUNTIF(H5,{"*EDM*"})),"Cool,Upbeat,Happy Mood",IF(H5="","","")))))))</f>
        <v>Cool,Upbeat,Dark</v>
      </c>
      <c r="AL5" s="25" t="str">
        <f t="array" ref="AL5">IF(SUM(COUNTIF(H5,{"*Deep*";"*Bass*";"*Slap*"})),"Hard &amp; Heavy,Chilling Out &amp; Lounging,Happy &amp; Upbeat",IF(SUM(COUNTIF(H5,{"*Lo-Fi*"})),"Work, Study &amp; Reading,Chilling Out &amp; Lounging,Relaxed &amp; Laid Back",IF(SUM(COUNTIF(H5,{"*Tech*"})),"Hard &amp; Heavy,Chilling Out &amp; Lounging,Happy &amp; Upbeat",IF(SUM(COUNTIF(H5,{"*Indie/Chill Dance*"})),"Hard &amp; Heavy,Chilling Out &amp; Lounging,Happy &amp; Upbeat",IF(SUM(COUNTIF(H5,{"*Piano*"})),"Hard &amp; Heavy,Chilling Out &amp; Lounging,Happy &amp; Upbeat",IF(SUM(COUNTIF(H5,{"*EDM*"})),"Hard &amp; Heavy,Chilling Out &amp; Lounging,Happy &amp; Upbeat",IF(H5="","","")))))))</f>
        <v>Hard &amp; Heavy,Chilling Out &amp; Lounging,Happy &amp; Upbeat</v>
      </c>
      <c r="AN5" s="20" t="str">
        <f t="shared" si="7"/>
        <v>Cubfonic</v>
      </c>
      <c r="AO5" s="20" t="str">
        <f ca="1">IFERROR(_xlfn.TEXTBEFORE(AN5,","),AN5)</f>
        <v>Cubfonic</v>
      </c>
      <c r="AP5" s="20" t="str">
        <f ca="1">IFERROR(TRIM(SUBSTITUTE(SUBSTITUTE(SUBSTITUTE(SUBSTITUTE(_xlfn.TEXTAFTER(AN5,",",1),AQ5,""),AR5,""),AS5,""),",","")),"")</f>
        <v/>
      </c>
      <c r="AQ5" s="20" t="str">
        <f ca="1">IFERROR(SUBSTITUTE(SUBSTITUTE(SUBSTITUTE(_xlfn.TEXTAFTER(AN5,",",2),AR5,""),",",""),AS5,""),"")</f>
        <v/>
      </c>
      <c r="AR5" s="20" t="str">
        <f ca="1">IFERROR(SUBSTITUTE(SUBSTITUTE(_xlfn.TEXTAFTER(AN5,",",3),AS5,""),",",""),"")</f>
        <v/>
      </c>
      <c r="AS5" s="20" t="str">
        <f ca="1">IFERROR(_xlfn.TEXTAFTER(AN5,",",4),"")</f>
        <v/>
      </c>
      <c r="AV5" s="11">
        <v>4</v>
      </c>
      <c r="AW5" s="8" t="s">
        <v>36</v>
      </c>
      <c r="AX5" s="12" t="s">
        <v>84</v>
      </c>
      <c r="AY5" t="e">
        <f ca="1">+_xlfn.TEXTBEFORE(text_list[[#This Row],[Text]],"''''!",,0)</f>
        <v>#NAME?</v>
      </c>
      <c r="AZ5" t="e">
        <f ca="1">+_xlfn.TEXTBEFORE(_xlfn.TEXTAFTER(text_list[[#This Row],[Text]],"'''!"),"Label")</f>
        <v>#NAME?</v>
      </c>
      <c r="BA5" t="e">
        <f ca="1">+_xlfn.TEXTAFTER(text_list[[#This Row],[Text]],text_list[[#This Row],[Type based on genre]])</f>
        <v>#NAME?</v>
      </c>
      <c r="BB5" t="s">
        <v>42</v>
      </c>
      <c r="BE5" t="s">
        <v>85</v>
      </c>
      <c r="BF5" t="s">
        <v>36</v>
      </c>
      <c r="BG5">
        <f ca="1">+RAND()</f>
        <v>0.77487652412215702</v>
      </c>
      <c r="BI5" t="s">
        <v>55</v>
      </c>
      <c r="BJ5" t="s">
        <v>50</v>
      </c>
      <c r="BK5">
        <f ca="1">+RAND()</f>
        <v>0.5962967804678283</v>
      </c>
      <c r="BL5">
        <f ca="1">+tech[[#This Row],[Rand]]</f>
        <v>0.5962967804678283</v>
      </c>
      <c r="BN5" t="s">
        <v>86</v>
      </c>
      <c r="BO5" t="s">
        <v>52</v>
      </c>
      <c r="BP5">
        <f ca="1">+RAND()</f>
        <v>0.19005982403152277</v>
      </c>
      <c r="BR5" t="s">
        <v>87</v>
      </c>
      <c r="BS5" t="s">
        <v>54</v>
      </c>
      <c r="BT5">
        <f ca="1">+RAND()</f>
        <v>0.59222687137586716</v>
      </c>
      <c r="BV5" t="s">
        <v>88</v>
      </c>
      <c r="BW5" t="s">
        <v>56</v>
      </c>
      <c r="BX5">
        <f ca="1">+RAND()</f>
        <v>0.20089950820856683</v>
      </c>
      <c r="BZ5" t="s">
        <v>55</v>
      </c>
      <c r="CA5" t="s">
        <v>58</v>
      </c>
      <c r="CB5">
        <f ca="1">+RAND()</f>
        <v>0.10299807122029869</v>
      </c>
      <c r="CD5" t="s">
        <v>88</v>
      </c>
      <c r="CE5" t="s">
        <v>59</v>
      </c>
      <c r="CF5">
        <f ca="1">+RAND()</f>
        <v>0.59696333529650114</v>
      </c>
    </row>
    <row r="6" spans="1:323" x14ac:dyDescent="0.25">
      <c r="A6" t="s">
        <v>89</v>
      </c>
      <c r="B6" t="s">
        <v>90</v>
      </c>
      <c r="C6" t="s">
        <v>91</v>
      </c>
      <c r="D6" t="s">
        <v>78</v>
      </c>
      <c r="E6" t="s">
        <v>79</v>
      </c>
      <c r="F6" s="3">
        <v>5063212439827</v>
      </c>
      <c r="G6" t="s">
        <v>92</v>
      </c>
      <c r="H6" s="7" t="s">
        <v>54</v>
      </c>
      <c r="I6" t="s">
        <v>37</v>
      </c>
      <c r="J6" t="s">
        <v>93</v>
      </c>
      <c r="K6" t="s">
        <v>94</v>
      </c>
      <c r="L6" t="s">
        <v>40</v>
      </c>
      <c r="M6">
        <v>1</v>
      </c>
      <c r="N6" t="s">
        <v>13</v>
      </c>
      <c r="O6" s="25" t="str">
        <f t="shared" si="0"/>
        <v>Single</v>
      </c>
      <c r="P6" s="25" t="str">
        <f t="shared" si="1"/>
        <v>High_Priority</v>
      </c>
      <c r="Q6" s="25" t="str">
        <f t="shared" si="2"/>
        <v>Single</v>
      </c>
      <c r="R6" s="25" t="str">
        <f t="array" ref="R6">IF(SUM(COUNTIF(H6,{"*Deep*";"*Bass*";"*Slap*"})),"Citas:Deep House",IF(SUM(COUNTIF(H6,{"*Lo-Fi*"})),"Citas:Lo-Fi",IF(SUM(COUNTIF(H6,{"*Tech*"})),"Citas:Tech House",IF(SUM(COUNTIF(H6,{"*Indie/Chill Dance*"})),"Citas:Indie/Chill Dance",IF(SUM(COUNTIF(H6,{"*Piano*"})),"Citas:Piano House",IF(SUM(COUNTIF(H6,{"*EDM*"})),"edm dance",IF(H6="","","")))))))</f>
        <v>Citas:Indie/Chill Dance</v>
      </c>
      <c r="S6" s="25" t="str">
        <f t="array" ref="S6">IF(SUM(COUNTIF(H6,{"*Deep*";"*Bass*";"*Slap*"})),"energetic",IF(SUM(COUNTIF(H6,{"*Lo-Fi*"})),"calm",IF(SUM(COUNTIF(H6,{"*Tech*"})),"energetic",IF(SUM(COUNTIF(H6,{"*Indie/Chill Dance*"})),"chillout",IF(SUM(COUNTIF(H6,{"*Piano*"})),"energetic",IF(SUM(COUNTIF(H6,{"*EDM*"})),"energetic",IF(H6="","","")))))))</f>
        <v>chillout</v>
      </c>
      <c r="T6" s="25" t="str">
        <f t="array" ref="T6">IF(SUM(COUNTIF(H6,{"*Tech*";"*EDM*";"*Indie*";"*Deep*";"*Piano*";"*Slap*";"*Brazilian Bass*"})),"Song would perfectly fit in any dance mood playlist! Label will invest up to 5000 EUR advertising on facebook and instagram ads aswell as promoting it over label and label partners playlists, radio stations and press.",IF(SUM(COUNTIF(H6,{"*Lo-Fi*"})),"Song would perfectly fit in any Lo-Fi mood playlist! Label will invest up to 5000 EUR advertising on facebook and instagram ads aswell as promoting it over label and label partners playlists, radio stations and press.",IF(H6="","","")))</f>
        <v>Song would perfectly fit in any dance mood playlist! Label will invest up to 5000 EUR advertising on facebook and instagram ads aswell as promoting it over label and label partners playlists, radio stations and press.</v>
      </c>
      <c r="U6" s="25" t="str">
        <f t="shared" si="3"/>
        <v>SGL</v>
      </c>
      <c r="V6" s="25" t="str">
        <f t="shared" si="4"/>
        <v>Electronic, Dance, Deep House</v>
      </c>
      <c r="X6" s="25" t="str">
        <f t="array" aca="1" ref="X6" ca="1">+IF(H6="LO-FI","",IFERROR(INDEX(INDIRECT((_xlfn.XLOOKUP(H6,map_location[Genre],map_location[location]))),RANK(INDIRECT((_xlfn.XLOOKUP(H6,map_location[Genre],map_location[min])),FALSE),INDIRECT((_xlfn.XLOOKUP(H6,map_location[Genre],map_location[rand]))),1)),""))</f>
        <v/>
      </c>
      <c r="Y6" s="25" t="str">
        <f t="array" ref="Y6">IF(SUM(COUNTIF(H6,{"*Deep*";"*Bass*";"*Slap*"})),"**Deep House**House**Dance**",IF(SUM(COUNTIF(H6,{"*Lo-Fi*"})),"**Lo-Fi Pop**Lo-Fi Beats**Lo-Fi**",IF(SUM(COUNTIF(H6,{"*Tech*"})),"**Deep House**Tech House**Dance**",IF(SUM(COUNTIF(H6,{"*Indie/Chill Dance*"})),"**Indie Dance**Indie Electronic**Dance Pop**",IF(SUM(COUNTIF(H6,{"*Piano*"})),"**House**Electro house**Melodic House**",IF(SUM(COUNTIF(H6,{"*EDM*"})),"**EDM**Electro house**Dance Pop**",IF(H6="","","")))))))</f>
        <v>**Indie Dance**Indie Electronic**Dance Pop**</v>
      </c>
      <c r="Z6" s="25" t="str">
        <f t="array" ref="Z6">IF(SUM(COUNTIF(H6,{"*Deep*";"*Bass*";"*Slap*"})),"Energetic,Happy",IF(SUM(COUNTIF(H6,{"*Lo-Fi*"})),"Romantic,Chill",IF(SUM(COUNTIF(H6,{"*Tech*"})),"Energetic,Happy",IF(SUM(COUNTIF(H6,{"*Indie/Chill Dance*"})),"Energetic,Chill",IF(SUM(COUNTIF(H6,{"*Piano*"})),"Energetic,Happy",IF(SUM(COUNTIF(H6,{"*EDM*"})),"Energetic,Happy",IF(H6="","","")))))))</f>
        <v>Energetic,Chill</v>
      </c>
      <c r="AA6" s="25" t="str">
        <f t="array" ref="AA6">IF(SUM(COUNTIF(H6,{"*Deep*";"*Bass*";"*Slap*"})),"None of these",IF(SUM(COUNTIF(H6,{"*Lo-Fi*"})),"Holiday,Beats",IF(SUM(COUNTIF(H6,{"*Tech*"})),"None of these",IF(SUM(COUNTIF(H6,{"*Indie/Chill Dance*"})),"None of these",IF(SUM(COUNTIF(H6,{"*Piano*"})),"None of these",IF(SUM(COUNTIF(H6,{"*EDM*"})),"None of these",IF(H6="","","")))))))</f>
        <v>None of these</v>
      </c>
      <c r="AB6" s="25" t="str">
        <f t="array" ref="AB6">IF(SUM(COUNTIF(H6,{"*Deep*";"*Bass*";"*Slap*"})),"Samples,Synthesizer,Bass Guitar,Piano,Drum Kit,Electric Guitar",IF(SUM(COUNTIF(H6,{"*Lo-Fi*"})),"Samples,Synthesizer,Bass Guitar,Piano,Drum Kit,Electric Guitar",IF(SUM(COUNTIF(H6,{"*Tech*"})),"Samples,Synthesizer,Bass Guitar,Piano,Drum Kit,Electric Guitar",IF(SUM(COUNTIF(H6,{"*Indie/Chill Dance*"})),"Samples,Synthesizer,Bass Guitar,Piano,Drum Kit,Electric Guitar",IF(SUM(COUNTIF(H6,{"*Piano*"})),"Samples,Synthesizer,Bass Guitar,Piano,Drum Kit,Electric Guitar",IF(SUM(COUNTIF(H6,{"*EDM*"})),"Samples,Synthesizer,Bass Guitar,Piano,Drum Kit,Electric Guitar",IF(H6="","","")))))))</f>
        <v>Samples,Synthesizer,Bass Guitar,Piano,Drum Kit,Electric Guitar</v>
      </c>
      <c r="AC6" s="25" t="str">
        <f t="array" ref="AC6">IF(N6="Cover","Yes",IF(SUM(COUNTIF(N6,{"*Radio/Extended*";"*Radio*";"*Remix*"})),"No",""))</f>
        <v>No</v>
      </c>
      <c r="AD6" s="25" t="str">
        <f t="array" ref="AD6">IF(N6="Remix","Yes",IF(SUM(COUNTIF(N6,{"*Radio/Extended*";"*Radio*";"*Cover*"})),"No",""))</f>
        <v>No</v>
      </c>
      <c r="AE6" s="25" t="str">
        <f t="shared" si="5"/>
        <v>**English**</v>
      </c>
      <c r="AF6" s="25" t="str">
        <f t="array" aca="1" ref="AF6" ca="1">+TRIM(SUBSTITUTE(SUBSTITUTE(SUBSTITUTE(SUBSTITUTE(IFERROR(AO6&amp;" "&amp;+_xlfn.XLOOKUP(((SUM(LEN(AN6))-SUM(LEN(SUBSTITUTE(AN6,",",""))))/LEN(",")+1)&amp;H6,AV:AV&amp;AW:AW,AY:AY)&amp;CHAR(34)&amp;B6&amp;CHAR(34)&amp;"!"&amp;_xlfn.XLOOKUP(H6,text_list[Genre],text_list[Type based on genre]&amp;text_list[Label]),""),"Second",AP6),"Third",AQ6),"Forth",AR6),"Fifth",AS6&amp;" "))</f>
        <v/>
      </c>
      <c r="AG6" s="25" t="str">
        <f t="array" ref="AG6">IF(SUM(COUNTIF(H6,{"*Deep*";"*Bass*";"*Slap*"})),"**Deep House**Progressive House**House**",IF(SUM(COUNTIF(H6,{"*Lo-Fi*"})),"**Lo-Fi Hip Hop**Indie &amp; Lo Fi**Lounge**",IF(SUM(COUNTIF(H6,{"*Tech*"})),"**Tech House**Techno**Future House**",IF(SUM(COUNTIF(H6,{"*Indie/Chill Dance*"})),"**Chill Electronic**Indie Dance**Ambient**",IF(SUM(COUNTIF(H6,{"*Piano*"})),"**Progressive House**House**Dance Pop**",IF(SUM(COUNTIF(H6,{"*EDM*"})),"**Progressive House**House**EDM**",IF(H6="","","")))))))</f>
        <v>**Chill Electronic**Indie Dance**Ambient**</v>
      </c>
      <c r="AH6" s="25" t="str">
        <f t="shared" si="6"/>
        <v>Original</v>
      </c>
      <c r="AI6" s="25" t="str">
        <f t="array" ref="AI6">IF(SUM(COUNTIF(H6,{"*Deep*";"*Bass*";"*Slap*"})),"**Tiësto**Imanbek**",IF(SUM(COUNTIF(H6,{"*Lo-Fi*"})),"**L.Dre**Yasumu**",IF(SUM(COUNTIF(H6,{"*Tech*"})),"**Mau P**Gorgon City**",IF(SUM(COUNTIF(H6,{"*Indie/Chill Dance*"})),"**Felix Jaehn**Lost Frequencies**",IF(SUM(COUNTIF(H6,{"*Piano*"})),"**Avicii**Eric Prydz**",IF(SUM(COUNTIF(H6,{"*EDM*"})),"**David Guetta**Swedish House Mafia**",IF(H6="","","")))))))</f>
        <v>**Felix Jaehn**Lost Frequencies**</v>
      </c>
      <c r="AJ6" s="25" t="str">
        <f t="array" aca="1" ref="AJ6" ca="1">+IFERROR(INDEX(INDIRECT((_xlfn.XLOOKUP(H6,map_country[Genre],map_country[country]))),RANK(INDIRECT((_xlfn.XLOOKUP(H6,map_country[Genre],map_country[min])),FALSE),INDIRECT((_xlfn.XLOOKUP(H6,map_country[Genre],map_country[rand]))),1)),"")</f>
        <v/>
      </c>
      <c r="AK6" s="25" t="str">
        <f t="array" ref="AK6">IF(SUM(COUNTIF(H6,{"*Deep*";"*Bass*";"*Slap*"})),"Cool,Upbeat,Dark",IF(SUM(COUNTIF(H6,{"*Lo-Fi*"})),"Sexy,Relaxing,Romantic",IF(SUM(COUNTIF(H6,{"*Tech*"})),"Cool,Upbeat,Dark",IF(SUM(COUNTIF(H6,{"*Indie/Chill Dance*"})),"Cool,Upbeat,Light",IF(SUM(COUNTIF(H6,{"*Piano*"})),"Cool,Upbeat,Light",IF(SUM(COUNTIF(H6,{"*EDM*"})),"Cool,Upbeat,Happy Mood",IF(H6="","","")))))))</f>
        <v>Cool,Upbeat,Light</v>
      </c>
      <c r="AL6" s="25" t="str">
        <f t="array" ref="AL6">IF(SUM(COUNTIF(H6,{"*Deep*";"*Bass*";"*Slap*"})),"Hard &amp; Heavy,Chilling Out &amp; Lounging,Happy &amp; Upbeat",IF(SUM(COUNTIF(H6,{"*Lo-Fi*"})),"Work, Study &amp; Reading,Chilling Out &amp; Lounging,Relaxed &amp; Laid Back",IF(SUM(COUNTIF(H6,{"*Tech*"})),"Hard &amp; Heavy,Chilling Out &amp; Lounging,Happy &amp; Upbeat",IF(SUM(COUNTIF(H6,{"*Indie/Chill Dance*"})),"Hard &amp; Heavy,Chilling Out &amp; Lounging,Happy &amp; Upbeat",IF(SUM(COUNTIF(H6,{"*Piano*"})),"Hard &amp; Heavy,Chilling Out &amp; Lounging,Happy &amp; Upbeat",IF(SUM(COUNTIF(H6,{"*EDM*"})),"Hard &amp; Heavy,Chilling Out &amp; Lounging,Happy &amp; Upbeat",IF(H6="","","")))))))</f>
        <v>Hard &amp; Heavy,Chilling Out &amp; Lounging,Happy &amp; Upbeat</v>
      </c>
      <c r="AN6" s="20" t="str">
        <f t="shared" si="7"/>
        <v>Franko Keys, Lofi Hendrick, Fifty Gram</v>
      </c>
      <c r="AO6" s="20" t="str">
        <f ca="1">IFERROR(_xlfn.TEXTBEFORE(AN6,","),AN6)</f>
        <v>Franko Keys, Lofi Hendrick, Fifty Gram</v>
      </c>
      <c r="AP6" s="20" t="str">
        <f ca="1">IFERROR(TRIM(SUBSTITUTE(SUBSTITUTE(SUBSTITUTE(SUBSTITUTE(_xlfn.TEXTAFTER(AN6,",",1),AQ6,""),AR6,""),AS6,""),",","")),"")</f>
        <v/>
      </c>
      <c r="AQ6" s="20" t="str">
        <f ca="1">IFERROR(SUBSTITUTE(SUBSTITUTE(SUBSTITUTE(_xlfn.TEXTAFTER(AN6,",",2),AR6,""),",",""),AS6,""),"")</f>
        <v/>
      </c>
      <c r="AR6" s="20" t="str">
        <f ca="1">IFERROR(SUBSTITUTE(SUBSTITUTE(_xlfn.TEXTAFTER(AN6,",",3),AS6,""),",",""),"")</f>
        <v/>
      </c>
      <c r="AS6" s="20" t="str">
        <f ca="1">IFERROR(_xlfn.TEXTAFTER(AN6,",",4),"")</f>
        <v/>
      </c>
      <c r="AV6" s="11">
        <v>5</v>
      </c>
      <c r="AW6" s="8" t="s">
        <v>36</v>
      </c>
      <c r="AX6" s="12" t="s">
        <v>95</v>
      </c>
      <c r="AY6" t="e">
        <f ca="1">+_xlfn.TEXTBEFORE(text_list[[#This Row],[Text]],"''''!",,0)</f>
        <v>#NAME?</v>
      </c>
      <c r="AZ6" t="e">
        <f ca="1">+_xlfn.TEXTBEFORE(_xlfn.TEXTAFTER(text_list[[#This Row],[Text]],"'''!"),"Label")</f>
        <v>#NAME?</v>
      </c>
      <c r="BA6" t="e">
        <f ca="1">+_xlfn.TEXTAFTER(text_list[[#This Row],[Text]],text_list[[#This Row],[Type based on genre]])</f>
        <v>#NAME?</v>
      </c>
      <c r="BB6" t="s">
        <v>42</v>
      </c>
      <c r="BN6" s="4" t="s">
        <v>96</v>
      </c>
      <c r="BO6" s="5" t="s">
        <v>52</v>
      </c>
      <c r="BP6" s="5">
        <f ca="1">+RAND()</f>
        <v>0.25830614203358571</v>
      </c>
    </row>
    <row r="7" spans="1:323" x14ac:dyDescent="0.25">
      <c r="A7" t="s">
        <v>97</v>
      </c>
      <c r="B7" t="s">
        <v>98</v>
      </c>
      <c r="D7" t="s">
        <v>99</v>
      </c>
      <c r="E7" t="s">
        <v>100</v>
      </c>
      <c r="F7" s="3">
        <v>5063010252956</v>
      </c>
      <c r="G7" t="s">
        <v>101</v>
      </c>
      <c r="H7" s="7"/>
      <c r="I7" t="s">
        <v>37</v>
      </c>
      <c r="J7" t="s">
        <v>102</v>
      </c>
      <c r="K7" t="s">
        <v>103</v>
      </c>
      <c r="L7" t="s">
        <v>104</v>
      </c>
      <c r="O7" s="25" t="str">
        <f t="shared" si="0"/>
        <v/>
      </c>
      <c r="P7" s="25" t="str">
        <f t="shared" si="1"/>
        <v/>
      </c>
      <c r="Q7" s="25" t="str">
        <f t="shared" si="2"/>
        <v/>
      </c>
      <c r="R7" s="25" t="str">
        <f t="array" ref="R7">IF(SUM(COUNTIF(H7,{"*Deep*";"*Bass*";"*Slap*"})),"Citas:Deep House",IF(SUM(COUNTIF(H7,{"*Lo-Fi*"})),"Citas:Lo-Fi",IF(SUM(COUNTIF(H7,{"*Tech*"})),"Citas:Tech House",IF(SUM(COUNTIF(H7,{"*Indie/Chill Dance*"})),"Citas:Indie/Chill Dance",IF(SUM(COUNTIF(H7,{"*Piano*"})),"Citas:Piano House",IF(SUM(COUNTIF(H7,{"*EDM*"})),"edm dance",IF(H7="","","")))))))</f>
        <v/>
      </c>
      <c r="S7" s="25" t="str">
        <f t="array" ref="S7">IF(SUM(COUNTIF(H7,{"*Deep*";"*Bass*";"*Slap*"})),"energetic",IF(SUM(COUNTIF(H7,{"*Lo-Fi*"})),"calm",IF(SUM(COUNTIF(H7,{"*Tech*"})),"energetic",IF(SUM(COUNTIF(H7,{"*Indie/Chill Dance*"})),"chillout",IF(SUM(COUNTIF(H7,{"*Piano*"})),"energetic",IF(SUM(COUNTIF(H7,{"*EDM*"})),"energetic",IF(H7="","","")))))))</f>
        <v/>
      </c>
      <c r="T7" s="25" t="str">
        <f t="array" ref="T7">IF(SUM(COUNTIF(H7,{"*Tech*";"*EDM*";"*Indie*";"*Deep*";"*Piano*";"*Slap*";"*Brazilian Bass*"})),"Song would perfectly fit in any dance mood playlist! Label will invest up to 5000 EUR advertising on facebook and instagram ads aswell as promoting it over label and label partners playlists, radio stations and press.",IF(SUM(COUNTIF(H7,{"*Lo-Fi*"})),"Song would perfectly fit in any Lo-Fi mood playlist! Label will invest up to 5000 EUR advertising on facebook and instagram ads aswell as promoting it over label and label partners playlists, radio stations and press.",IF(H7="","","")))</f>
        <v/>
      </c>
      <c r="U7" s="25" t="str">
        <f t="shared" si="3"/>
        <v/>
      </c>
      <c r="V7" s="25" t="str">
        <f t="shared" si="4"/>
        <v>Instrumental only</v>
      </c>
      <c r="X7" s="25" t="str">
        <f t="array" aca="1" ref="X7" ca="1">+IF(H7="LO-FI","",IFERROR(INDEX(INDIRECT((_xlfn.XLOOKUP(H7,map_location[Genre],map_location[location]))),RANK(INDIRECT((_xlfn.XLOOKUP(H7,map_location[Genre],map_location[min])),FALSE),INDIRECT((_xlfn.XLOOKUP(H7,map_location[Genre],map_location[rand]))),1)),""))</f>
        <v/>
      </c>
      <c r="Y7" s="25" t="str">
        <f t="array" ref="Y7">IF(SUM(COUNTIF(H7,{"*Deep*";"*Bass*";"*Slap*"})),"**Deep House**House**Dance**",IF(SUM(COUNTIF(H7,{"*Lo-Fi*"})),"**Lo-Fi Pop**Lo-Fi Beats**Lo-Fi**",IF(SUM(COUNTIF(H7,{"*Tech*"})),"**Deep House**Tech House**Dance**",IF(SUM(COUNTIF(H7,{"*Indie/Chill Dance*"})),"**Indie Dance**Indie Electronic**Dance Pop**",IF(SUM(COUNTIF(H7,{"*Piano*"})),"**House**Electro house**Melodic House**",IF(SUM(COUNTIF(H7,{"*EDM*"})),"**EDM**Electro house**Dance Pop**",IF(H7="","","")))))))</f>
        <v/>
      </c>
      <c r="Z7" s="25" t="str">
        <f t="array" ref="Z7">IF(SUM(COUNTIF(H7,{"*Deep*";"*Bass*";"*Slap*"})),"Energetic,Happy",IF(SUM(COUNTIF(H7,{"*Lo-Fi*"})),"Romantic,Chill",IF(SUM(COUNTIF(H7,{"*Tech*"})),"Energetic,Happy",IF(SUM(COUNTIF(H7,{"*Indie/Chill Dance*"})),"Energetic,Chill",IF(SUM(COUNTIF(H7,{"*Piano*"})),"Energetic,Happy",IF(SUM(COUNTIF(H7,{"*EDM*"})),"Energetic,Happy",IF(H7="","","")))))))</f>
        <v/>
      </c>
      <c r="AA7" s="25" t="str">
        <f t="array" ref="AA7">IF(SUM(COUNTIF(H7,{"*Deep*";"*Bass*";"*Slap*"})),"None of these",IF(SUM(COUNTIF(H7,{"*Lo-Fi*"})),"Holiday,Beats",IF(SUM(COUNTIF(H7,{"*Tech*"})),"None of these",IF(SUM(COUNTIF(H7,{"*Indie/Chill Dance*"})),"None of these",IF(SUM(COUNTIF(H7,{"*Piano*"})),"None of these",IF(SUM(COUNTIF(H7,{"*EDM*"})),"None of these",IF(H7="","","")))))))</f>
        <v/>
      </c>
      <c r="AB7" s="25" t="str">
        <f t="array" ref="AB7">IF(SUM(COUNTIF(H7,{"*Deep*";"*Bass*";"*Slap*"})),"Samples,Synthesizer,Bass Guitar,Piano,Drum Kit,Electric Guitar",IF(SUM(COUNTIF(H7,{"*Lo-Fi*"})),"Samples,Synthesizer,Bass Guitar,Piano,Drum Kit,Electric Guitar",IF(SUM(COUNTIF(H7,{"*Tech*"})),"Samples,Synthesizer,Bass Guitar,Piano,Drum Kit,Electric Guitar",IF(SUM(COUNTIF(H7,{"*Indie/Chill Dance*"})),"Samples,Synthesizer,Bass Guitar,Piano,Drum Kit,Electric Guitar",IF(SUM(COUNTIF(H7,{"*Piano*"})),"Samples,Synthesizer,Bass Guitar,Piano,Drum Kit,Electric Guitar",IF(SUM(COUNTIF(H7,{"*EDM*"})),"Samples,Synthesizer,Bass Guitar,Piano,Drum Kit,Electric Guitar",IF(H7="","","")))))))</f>
        <v/>
      </c>
      <c r="AC7" s="25" t="str">
        <f t="array" ref="AC7">IF(N7="Cover","Yes",IF(SUM(COUNTIF(N7,{"*Radio/Extended*";"*Radio*";"*Remix*"})),"No",""))</f>
        <v/>
      </c>
      <c r="AD7" s="25" t="str">
        <f t="array" ref="AD7">IF(N7="Remix","Yes",IF(SUM(COUNTIF(N7,{"*Radio/Extended*";"*Radio*";"*Cover*"})),"No",""))</f>
        <v/>
      </c>
      <c r="AE7" s="25" t="str">
        <f t="shared" si="5"/>
        <v>**English**</v>
      </c>
      <c r="AF7" s="25" t="str">
        <f t="array" aca="1" ref="AF7" ca="1">+TRIM(SUBSTITUTE(SUBSTITUTE(SUBSTITUTE(SUBSTITUTE(IFERROR(AO7&amp;" "&amp;+_xlfn.XLOOKUP(((SUM(LEN(AN7))-SUM(LEN(SUBSTITUTE(AN7,",",""))))/LEN(",")+1)&amp;H7,AV:AV&amp;AW:AW,AY:AY)&amp;CHAR(34)&amp;B7&amp;CHAR(34)&amp;"!"&amp;_xlfn.XLOOKUP(H7,text_list[Genre],text_list[Type based on genre]&amp;text_list[Label]),""),"Second",AP7),"Third",AQ7),"Forth",AR7),"Fifth",AS7&amp;" "))</f>
        <v/>
      </c>
      <c r="AH7" s="25" t="str">
        <f t="shared" si="6"/>
        <v/>
      </c>
      <c r="AI7" s="25" t="str">
        <f t="array" ref="AI7">IF(SUM(COUNTIF(H7,{"*Deep*";"*Bass*";"*Slap*"})),"**Tiësto**Imanbek**",IF(SUM(COUNTIF(H7,{"*Lo-Fi*"})),"**L.Dre**Yasumu**",IF(SUM(COUNTIF(H7,{"*Tech*"})),"**Mau P**Gorgon City**",IF(SUM(COUNTIF(H7,{"*Indie/Chill Dance*"})),"**Felix Jaehn**Lost Frequencies**",IF(SUM(COUNTIF(H7,{"*Piano*"})),"**Avicii**Eric Prydz**",IF(SUM(COUNTIF(H7,{"*EDM*"})),"**David Guetta**Swedish House Mafia**",IF(H7="","","")))))))</f>
        <v/>
      </c>
      <c r="AJ7" s="25" t="str">
        <f t="array" aca="1" ref="AJ7" ca="1">+IFERROR(INDEX(INDIRECT((_xlfn.XLOOKUP(H7,map_country[Genre],map_country[country]))),RANK(INDIRECT((_xlfn.XLOOKUP(H7,map_country[Genre],map_country[min])),FALSE),INDIRECT((_xlfn.XLOOKUP(H7,map_country[Genre],map_country[rand]))),1)),"")</f>
        <v/>
      </c>
      <c r="AK7" s="25" t="str">
        <f t="array" ref="AK7">IF(SUM(COUNTIF(H7,{"*Deep*";"*Bass*";"*Slap*"})),"Cool,Upbeat,Dark",IF(SUM(COUNTIF(H7,{"*Lo-Fi*"})),"Sexy,Relaxing,Romantic",IF(SUM(COUNTIF(H7,{"*Tech*"})),"Cool,Upbeat,Dark",IF(SUM(COUNTIF(H7,{"*Indie/Chill Dance*"})),"Cool,Upbeat,Light",IF(SUM(COUNTIF(H7,{"*Piano*"})),"Cool,Upbeat,Light",IF(SUM(COUNTIF(H7,{"*EDM*"})),"Cool,Upbeat,Happy Mood",IF(H7="","","")))))))</f>
        <v/>
      </c>
      <c r="AL7" s="25" t="str">
        <f t="array" ref="AL7">IF(SUM(COUNTIF(H7,{"*Deep*";"*Bass*";"*Slap*"})),"Hard &amp; Heavy,Chilling Out &amp; Lounging,Happy &amp; Upbeat",IF(SUM(COUNTIF(H7,{"*Lo-Fi*"})),"Work, Study &amp; Reading,Chilling Out &amp; Lounging,Relaxed &amp; Laid Back",IF(SUM(COUNTIF(H7,{"*Tech*"})),"Hard &amp; Heavy,Chilling Out &amp; Lounging,Happy &amp; Upbeat",IF(SUM(COUNTIF(H7,{"*Indie/Chill Dance*"})),"Hard &amp; Heavy,Chilling Out &amp; Lounging,Happy &amp; Upbeat",IF(SUM(COUNTIF(H7,{"*Piano*"})),"Hard &amp; Heavy,Chilling Out &amp; Lounging,Happy &amp; Upbeat",IF(SUM(COUNTIF(H7,{"*EDM*"})),"Hard &amp; Heavy,Chilling Out &amp; Lounging,Happy &amp; Upbeat",IF(H7="","","")))))))</f>
        <v/>
      </c>
      <c r="AN7" s="20" t="str">
        <f t="shared" si="7"/>
        <v>Jerry Of Everything, Lo</v>
      </c>
      <c r="AO7" s="20" t="str">
        <f ca="1">IFERROR(_xlfn.TEXTBEFORE(AN7,","),AN7)</f>
        <v>Jerry Of Everything, Lo</v>
      </c>
      <c r="AP7" s="20" t="str">
        <f ca="1">IFERROR(TRIM(SUBSTITUTE(SUBSTITUTE(SUBSTITUTE(SUBSTITUTE(_xlfn.TEXTAFTER(AN7,",",1),AQ7,""),AR7,""),AS7,""),",","")),"")</f>
        <v/>
      </c>
      <c r="AQ7" s="20" t="str">
        <f ca="1">IFERROR(SUBSTITUTE(SUBSTITUTE(SUBSTITUTE(_xlfn.TEXTAFTER(AN7,",",2),AR7,""),",",""),AS7,""),"")</f>
        <v/>
      </c>
      <c r="AR7" s="20" t="str">
        <f ca="1">IFERROR(SUBSTITUTE(SUBSTITUTE(_xlfn.TEXTAFTER(AN7,",",3),AS7,""),",",""),"")</f>
        <v/>
      </c>
      <c r="AS7" s="20" t="str">
        <f ca="1">IFERROR(_xlfn.TEXTAFTER(AN7,",",4),"")</f>
        <v/>
      </c>
      <c r="AV7" s="11">
        <v>1</v>
      </c>
      <c r="AW7" s="9" t="s">
        <v>50</v>
      </c>
      <c r="AX7" s="12" t="s">
        <v>41</v>
      </c>
      <c r="AY7" t="e">
        <f ca="1">+_xlfn.TEXTBEFORE(text_list[[#This Row],[Text]],"''''!",,0)</f>
        <v>#NAME?</v>
      </c>
      <c r="AZ7" t="e">
        <f ca="1">+_xlfn.TEXTBEFORE(_xlfn.TEXTAFTER(text_list[[#This Row],[Text]],"'''!"),"Label")</f>
        <v>#NAME?</v>
      </c>
      <c r="BA7" t="e">
        <f ca="1">+_xlfn.TEXTAFTER(text_list[[#This Row],[Text]],text_list[[#This Row],[Type based on genre]])</f>
        <v>#NAME?</v>
      </c>
      <c r="BB7" t="s">
        <v>42</v>
      </c>
    </row>
    <row r="8" spans="1:323" x14ac:dyDescent="0.25">
      <c r="A8" t="s">
        <v>105</v>
      </c>
      <c r="B8" t="s">
        <v>106</v>
      </c>
      <c r="D8" t="s">
        <v>107</v>
      </c>
      <c r="E8" t="s">
        <v>108</v>
      </c>
      <c r="F8" s="3">
        <v>5063010719435</v>
      </c>
      <c r="G8" t="s">
        <v>109</v>
      </c>
      <c r="H8" s="7"/>
      <c r="I8" t="s">
        <v>37</v>
      </c>
      <c r="J8" t="s">
        <v>110</v>
      </c>
      <c r="K8" t="s">
        <v>111</v>
      </c>
      <c r="L8" t="s">
        <v>104</v>
      </c>
      <c r="O8" s="25" t="str">
        <f t="shared" si="0"/>
        <v/>
      </c>
      <c r="P8" s="25" t="str">
        <f t="shared" si="1"/>
        <v/>
      </c>
      <c r="Q8" s="25" t="str">
        <f t="shared" si="2"/>
        <v/>
      </c>
      <c r="R8" s="25" t="str">
        <f t="array" ref="R8">IF(SUM(COUNTIF(H8,{"*Deep*";"*Bass*";"*Slap*"})),"Citas:Deep House",IF(SUM(COUNTIF(H8,{"*Lo-Fi*"})),"Citas:Lo-Fi",IF(SUM(COUNTIF(H8,{"*Tech*"})),"Citas:Tech House",IF(SUM(COUNTIF(H8,{"*Indie/Chill Dance*"})),"Citas:Indie/Chill Dance",IF(SUM(COUNTIF(H8,{"*Piano*"})),"Citas:Piano House",IF(SUM(COUNTIF(H8,{"*EDM*"})),"edm dance",IF(H8="","","")))))))</f>
        <v/>
      </c>
      <c r="S8" s="25" t="str">
        <f t="array" ref="S8">IF(SUM(COUNTIF(H8,{"*Deep*";"*Bass*";"*Slap*"})),"energetic",IF(SUM(COUNTIF(H8,{"*Lo-Fi*"})),"calm",IF(SUM(COUNTIF(H8,{"*Tech*"})),"energetic",IF(SUM(COUNTIF(H8,{"*Indie/Chill Dance*"})),"chillout",IF(SUM(COUNTIF(H8,{"*Piano*"})),"energetic",IF(SUM(COUNTIF(H8,{"*EDM*"})),"energetic",IF(H8="","","")))))))</f>
        <v/>
      </c>
      <c r="T8" s="25" t="str">
        <f t="array" ref="T8">IF(SUM(COUNTIF(H8,{"*Tech*";"*EDM*";"*Indie*";"*Deep*";"*Piano*";"*Slap*";"*Brazilian Bass*"})),"Song would perfectly fit in any dance mood playlist! Label will invest up to 5000 EUR advertising on facebook and instagram ads aswell as promoting it over label and label partners playlists, radio stations and press.",IF(SUM(COUNTIF(H8,{"*Lo-Fi*"})),"Song would perfectly fit in any Lo-Fi mood playlist! Label will invest up to 5000 EUR advertising on facebook and instagram ads aswell as promoting it over label and label partners playlists, radio stations and press.",IF(H8="","","")))</f>
        <v/>
      </c>
      <c r="U8" s="25" t="str">
        <f t="shared" si="3"/>
        <v/>
      </c>
      <c r="V8" s="25" t="str">
        <f t="shared" si="4"/>
        <v>Instrumental only</v>
      </c>
      <c r="X8" s="25" t="str">
        <f t="array" aca="1" ref="X8" ca="1">+IF(H8="LO-FI","",IFERROR(INDEX(INDIRECT((_xlfn.XLOOKUP(H8,map_location[Genre],map_location[location]))),RANK(INDIRECT((_xlfn.XLOOKUP(H8,map_location[Genre],map_location[min])),FALSE),INDIRECT((_xlfn.XLOOKUP(H8,map_location[Genre],map_location[rand]))),1)),""))</f>
        <v/>
      </c>
      <c r="Y8" s="25" t="str">
        <f t="array" ref="Y8">IF(SUM(COUNTIF(H8,{"*Deep*";"*Bass*";"*Slap*"})),"**Deep House**House**Dance**",IF(SUM(COUNTIF(H8,{"*Lo-Fi*"})),"**Lo-Fi Pop**Lo-Fi Beats**Lo-Fi**",IF(SUM(COUNTIF(H8,{"*Tech*"})),"**Deep House**Tech House**Dance**",IF(SUM(COUNTIF(H8,{"*Indie/Chill Dance*"})),"**Indie Dance**Indie Electronic**Dance Pop**",IF(SUM(COUNTIF(H8,{"*Piano*"})),"**House**Electro house**Melodic House**",IF(SUM(COUNTIF(H8,{"*EDM*"})),"**EDM**Electro house**Dance Pop**",IF(H8="","","")))))))</f>
        <v/>
      </c>
      <c r="Z8" s="25" t="str">
        <f t="array" ref="Z8">IF(SUM(COUNTIF(H8,{"*Deep*";"*Bass*";"*Slap*"})),"Energetic,Happy",IF(SUM(COUNTIF(H8,{"*Lo-Fi*"})),"Romantic,Chill",IF(SUM(COUNTIF(H8,{"*Tech*"})),"Energetic,Happy",IF(SUM(COUNTIF(H8,{"*Indie/Chill Dance*"})),"Energetic,Chill",IF(SUM(COUNTIF(H8,{"*Piano*"})),"Energetic,Happy",IF(SUM(COUNTIF(H8,{"*EDM*"})),"Energetic,Happy",IF(H8="","","")))))))</f>
        <v/>
      </c>
      <c r="AA8" s="25" t="str">
        <f t="array" ref="AA8">IF(SUM(COUNTIF(H8,{"*Deep*";"*Bass*";"*Slap*"})),"None of these",IF(SUM(COUNTIF(H8,{"*Lo-Fi*"})),"Holiday,Beats",IF(SUM(COUNTIF(H8,{"*Tech*"})),"None of these",IF(SUM(COUNTIF(H8,{"*Indie/Chill Dance*"})),"None of these",IF(SUM(COUNTIF(H8,{"*Piano*"})),"None of these",IF(SUM(COUNTIF(H8,{"*EDM*"})),"None of these",IF(H8="","","")))))))</f>
        <v/>
      </c>
      <c r="AB8" s="25" t="str">
        <f t="array" ref="AB8">IF(SUM(COUNTIF(H8,{"*Deep*";"*Bass*";"*Slap*"})),"Samples,Synthesizer,Bass Guitar,Piano,Drum Kit,Electric Guitar",IF(SUM(COUNTIF(H8,{"*Lo-Fi*"})),"Samples,Synthesizer,Bass Guitar,Piano,Drum Kit,Electric Guitar",IF(SUM(COUNTIF(H8,{"*Tech*"})),"Samples,Synthesizer,Bass Guitar,Piano,Drum Kit,Electric Guitar",IF(SUM(COUNTIF(H8,{"*Indie/Chill Dance*"})),"Samples,Synthesizer,Bass Guitar,Piano,Drum Kit,Electric Guitar",IF(SUM(COUNTIF(H8,{"*Piano*"})),"Samples,Synthesizer,Bass Guitar,Piano,Drum Kit,Electric Guitar",IF(SUM(COUNTIF(H8,{"*EDM*"})),"Samples,Synthesizer,Bass Guitar,Piano,Drum Kit,Electric Guitar",IF(H8="","","")))))))</f>
        <v/>
      </c>
      <c r="AC8" s="25" t="str">
        <f t="array" ref="AC8">IF(N8="Cover","Yes",IF(SUM(COUNTIF(N8,{"*Radio/Extended*";"*Radio*";"*Remix*"})),"No",""))</f>
        <v/>
      </c>
      <c r="AD8" s="25" t="str">
        <f t="array" ref="AD8">IF(N8="Remix","Yes",IF(SUM(COUNTIF(N8,{"*Radio/Extended*";"*Radio*";"*Cover*"})),"No",""))</f>
        <v/>
      </c>
      <c r="AE8" s="25" t="str">
        <f t="shared" si="5"/>
        <v>**English**</v>
      </c>
      <c r="AF8" s="25" t="str">
        <f t="array" aca="1" ref="AF8" ca="1">+TRIM(SUBSTITUTE(SUBSTITUTE(SUBSTITUTE(SUBSTITUTE(IFERROR(AO8&amp;" "&amp;+_xlfn.XLOOKUP(((SUM(LEN(AN8))-SUM(LEN(SUBSTITUTE(AN8,",",""))))/LEN(",")+1)&amp;H8,AV:AV&amp;AW:AW,AY:AY)&amp;CHAR(34)&amp;B8&amp;CHAR(34)&amp;"!"&amp;_xlfn.XLOOKUP(H8,text_list[Genre],text_list[Type based on genre]&amp;text_list[Label]),""),"Second",AP8),"Third",AQ8),"Forth",AR8),"Fifth",AS8&amp;" "))</f>
        <v/>
      </c>
      <c r="AH8" s="25" t="str">
        <f t="shared" si="6"/>
        <v/>
      </c>
      <c r="AI8" s="25" t="str">
        <f t="array" ref="AI8">IF(SUM(COUNTIF(H8,{"*Deep*";"*Bass*";"*Slap*"})),"**Tiësto**Imanbek**",IF(SUM(COUNTIF(H8,{"*Lo-Fi*"})),"**L.Dre**Yasumu**",IF(SUM(COUNTIF(H8,{"*Tech*"})),"**Mau P**Gorgon City**",IF(SUM(COUNTIF(H8,{"*Indie/Chill Dance*"})),"**Felix Jaehn**Lost Frequencies**",IF(SUM(COUNTIF(H8,{"*Piano*"})),"**Avicii**Eric Prydz**",IF(SUM(COUNTIF(H8,{"*EDM*"})),"**David Guetta**Swedish House Mafia**",IF(H8="","","")))))))</f>
        <v/>
      </c>
      <c r="AJ8" s="25" t="str">
        <f t="array" aca="1" ref="AJ8" ca="1">+IFERROR(INDEX(INDIRECT((_xlfn.XLOOKUP(H8,map_country[Genre],map_country[country]))),RANK(INDIRECT((_xlfn.XLOOKUP(H8,map_country[Genre],map_country[min])),FALSE),INDIRECT((_xlfn.XLOOKUP(H8,map_country[Genre],map_country[rand]))),1)),"")</f>
        <v/>
      </c>
      <c r="AK8" s="25" t="str">
        <f t="array" ref="AK8">IF(SUM(COUNTIF(H8,{"*Deep*";"*Bass*";"*Slap*"})),"Cool,Upbeat,Dark",IF(SUM(COUNTIF(H8,{"*Lo-Fi*"})),"Sexy,Relaxing,Romantic",IF(SUM(COUNTIF(H8,{"*Tech*"})),"Cool,Upbeat,Dark",IF(SUM(COUNTIF(H8,{"*Indie/Chill Dance*"})),"Cool,Upbeat,Light",IF(SUM(COUNTIF(H8,{"*Piano*"})),"Cool,Upbeat,Light",IF(SUM(COUNTIF(H8,{"*EDM*"})),"Cool,Upbeat,Happy Mood",IF(H8="","","")))))))</f>
        <v/>
      </c>
      <c r="AL8" s="25" t="str">
        <f t="array" ref="AL8">IF(SUM(COUNTIF(H8,{"*Deep*";"*Bass*";"*Slap*"})),"Hard &amp; Heavy,Chilling Out &amp; Lounging,Happy &amp; Upbeat",IF(SUM(COUNTIF(H8,{"*Lo-Fi*"})),"Work, Study &amp; Reading,Chilling Out &amp; Lounging,Relaxed &amp; Laid Back",IF(SUM(COUNTIF(H8,{"*Tech*"})),"Hard &amp; Heavy,Chilling Out &amp; Lounging,Happy &amp; Upbeat",IF(SUM(COUNTIF(H8,{"*Indie/Chill Dance*"})),"Hard &amp; Heavy,Chilling Out &amp; Lounging,Happy &amp; Upbeat",IF(SUM(COUNTIF(H8,{"*Piano*"})),"Hard &amp; Heavy,Chilling Out &amp; Lounging,Happy &amp; Upbeat",IF(SUM(COUNTIF(H8,{"*EDM*"})),"Hard &amp; Heavy,Chilling Out &amp; Lounging,Happy &amp; Upbeat",IF(H8="","","")))))))</f>
        <v/>
      </c>
      <c r="AN8" s="20" t="str">
        <f t="shared" si="7"/>
        <v>Jerry Of Everything</v>
      </c>
      <c r="AO8" s="20" t="str">
        <f ca="1">IFERROR(_xlfn.TEXTBEFORE(AN8,","),AN8)</f>
        <v>Jerry Of Everything</v>
      </c>
      <c r="AP8" s="20" t="str">
        <f ca="1">IFERROR(TRIM(SUBSTITUTE(SUBSTITUTE(SUBSTITUTE(SUBSTITUTE(_xlfn.TEXTAFTER(AN8,",",1),AQ8,""),AR8,""),AS8,""),",","")),"")</f>
        <v/>
      </c>
      <c r="AQ8" s="20" t="str">
        <f ca="1">IFERROR(SUBSTITUTE(SUBSTITUTE(SUBSTITUTE(_xlfn.TEXTAFTER(AN8,",",2),AR8,""),",",""),AS8,""),"")</f>
        <v/>
      </c>
      <c r="AR8" s="20" t="str">
        <f ca="1">IFERROR(SUBSTITUTE(SUBSTITUTE(_xlfn.TEXTAFTER(AN8,",",3),AS8,""),",",""),"")</f>
        <v/>
      </c>
      <c r="AS8" s="20" t="str">
        <f ca="1">IFERROR(_xlfn.TEXTAFTER(AN8,",",4),"")</f>
        <v/>
      </c>
      <c r="AV8" s="11">
        <v>2</v>
      </c>
      <c r="AW8" s="9" t="s">
        <v>50</v>
      </c>
      <c r="AX8" s="12" t="s">
        <v>47</v>
      </c>
      <c r="AY8" t="e">
        <f ca="1">+_xlfn.TEXTBEFORE(text_list[[#This Row],[Text]],"''''!",,0)</f>
        <v>#NAME?</v>
      </c>
      <c r="AZ8" t="e">
        <f ca="1">+_xlfn.TEXTBEFORE(_xlfn.TEXTAFTER(text_list[[#This Row],[Text]],"'''!"),"Label")</f>
        <v>#NAME?</v>
      </c>
      <c r="BA8" t="e">
        <f ca="1">+_xlfn.TEXTAFTER(text_list[[#This Row],[Text]],text_list[[#This Row],[Type based on genre]])</f>
        <v>#NAME?</v>
      </c>
      <c r="BB8" t="s">
        <v>42</v>
      </c>
      <c r="BH8" t="s">
        <v>7</v>
      </c>
      <c r="BI8" t="s">
        <v>112</v>
      </c>
      <c r="BJ8" t="s">
        <v>113</v>
      </c>
      <c r="BK8" t="s">
        <v>114</v>
      </c>
      <c r="BL8" t="s">
        <v>115</v>
      </c>
      <c r="BM8" t="s">
        <v>116</v>
      </c>
      <c r="BN8" t="s">
        <v>117</v>
      </c>
    </row>
    <row r="9" spans="1:323" x14ac:dyDescent="0.25">
      <c r="A9" t="s">
        <v>118</v>
      </c>
      <c r="B9" t="s">
        <v>119</v>
      </c>
      <c r="D9" t="s">
        <v>107</v>
      </c>
      <c r="E9" t="s">
        <v>108</v>
      </c>
      <c r="F9" s="3">
        <v>5063010719435</v>
      </c>
      <c r="G9" t="s">
        <v>109</v>
      </c>
      <c r="H9" s="7"/>
      <c r="I9" t="s">
        <v>37</v>
      </c>
      <c r="J9" t="s">
        <v>110</v>
      </c>
      <c r="K9" t="s">
        <v>120</v>
      </c>
      <c r="L9" t="s">
        <v>104</v>
      </c>
      <c r="O9" s="25" t="str">
        <f t="shared" si="0"/>
        <v/>
      </c>
      <c r="P9" s="25" t="str">
        <f t="shared" si="1"/>
        <v/>
      </c>
      <c r="Q9" s="25" t="str">
        <f t="shared" si="2"/>
        <v/>
      </c>
      <c r="R9" s="25" t="str">
        <f t="array" ref="R9">IF(SUM(COUNTIF(H9,{"*Deep*";"*Bass*";"*Slap*"})),"Citas:Deep House",IF(SUM(COUNTIF(H9,{"*Lo-Fi*"})),"Citas:Lo-Fi",IF(SUM(COUNTIF(H9,{"*Tech*"})),"Citas:Tech House",IF(SUM(COUNTIF(H9,{"*Indie/Chill Dance*"})),"Citas:Indie/Chill Dance",IF(SUM(COUNTIF(H9,{"*Piano*"})),"Citas:Piano House",IF(SUM(COUNTIF(H9,{"*EDM*"})),"edm dance",IF(H9="","","")))))))</f>
        <v/>
      </c>
      <c r="S9" s="25" t="str">
        <f t="array" ref="S9">IF(SUM(COUNTIF(H9,{"*Deep*";"*Bass*";"*Slap*"})),"energetic",IF(SUM(COUNTIF(H9,{"*Lo-Fi*"})),"calm",IF(SUM(COUNTIF(H9,{"*Tech*"})),"energetic",IF(SUM(COUNTIF(H9,{"*Indie/Chill Dance*"})),"chillout",IF(SUM(COUNTIF(H9,{"*Piano*"})),"energetic",IF(SUM(COUNTIF(H9,{"*EDM*"})),"energetic",IF(H9="","","")))))))</f>
        <v/>
      </c>
      <c r="T9" s="25" t="str">
        <f t="array" ref="T9">IF(SUM(COUNTIF(H9,{"*Tech*";"*EDM*";"*Indie*";"*Deep*";"*Piano*";"*Slap*";"*Brazilian Bass*"})),"Song would perfectly fit in any dance mood playlist! Label will invest up to 5000 EUR advertising on facebook and instagram ads aswell as promoting it over label and label partners playlists, radio stations and press.",IF(SUM(COUNTIF(H9,{"*Lo-Fi*"})),"Song would perfectly fit in any Lo-Fi mood playlist! Label will invest up to 5000 EUR advertising on facebook and instagram ads aswell as promoting it over label and label partners playlists, radio stations and press.",IF(H9="","","")))</f>
        <v/>
      </c>
      <c r="U9" s="25" t="str">
        <f t="shared" si="3"/>
        <v/>
      </c>
      <c r="V9" s="25" t="str">
        <f t="shared" si="4"/>
        <v>Instrumental only</v>
      </c>
      <c r="X9" s="25" t="str">
        <f t="array" aca="1" ref="X9" ca="1">+IF(H9="LO-FI","",IFERROR(INDEX(INDIRECT((_xlfn.XLOOKUP(H9,map_location[Genre],map_location[location]))),RANK(INDIRECT((_xlfn.XLOOKUP(H9,map_location[Genre],map_location[min])),FALSE),INDIRECT((_xlfn.XLOOKUP(H9,map_location[Genre],map_location[rand]))),1)),""))</f>
        <v/>
      </c>
      <c r="Y9" s="25" t="str">
        <f t="array" ref="Y9">IF(SUM(COUNTIF(H9,{"*Deep*";"*Bass*";"*Slap*"})),"**Deep House**House**Dance**",IF(SUM(COUNTIF(H9,{"*Lo-Fi*"})),"**Lo-Fi Pop**Lo-Fi Beats**Lo-Fi**",IF(SUM(COUNTIF(H9,{"*Tech*"})),"**Deep House**Tech House**Dance**",IF(SUM(COUNTIF(H9,{"*Indie/Chill Dance*"})),"**Indie Dance**Indie Electronic**Dance Pop**",IF(SUM(COUNTIF(H9,{"*Piano*"})),"**House**Electro house**Melodic House**",IF(SUM(COUNTIF(H9,{"*EDM*"})),"**EDM**Electro house**Dance Pop**",IF(H9="","","")))))))</f>
        <v/>
      </c>
      <c r="Z9" s="25" t="str">
        <f t="array" ref="Z9">IF(SUM(COUNTIF(H9,{"*Deep*";"*Bass*";"*Slap*"})),"Energetic,Happy",IF(SUM(COUNTIF(H9,{"*Lo-Fi*"})),"Romantic,Chill",IF(SUM(COUNTIF(H9,{"*Tech*"})),"Energetic,Happy",IF(SUM(COUNTIF(H9,{"*Indie/Chill Dance*"})),"Energetic,Chill",IF(SUM(COUNTIF(H9,{"*Piano*"})),"Energetic,Happy",IF(SUM(COUNTIF(H9,{"*EDM*"})),"Energetic,Happy",IF(H9="","","")))))))</f>
        <v/>
      </c>
      <c r="AA9" s="25" t="str">
        <f t="array" ref="AA9">IF(SUM(COUNTIF(H9,{"*Deep*";"*Bass*";"*Slap*"})),"None of these",IF(SUM(COUNTIF(H9,{"*Lo-Fi*"})),"Holiday,Beats",IF(SUM(COUNTIF(H9,{"*Tech*"})),"None of these",IF(SUM(COUNTIF(H9,{"*Indie/Chill Dance*"})),"None of these",IF(SUM(COUNTIF(H9,{"*Piano*"})),"None of these",IF(SUM(COUNTIF(H9,{"*EDM*"})),"None of these",IF(H9="","","")))))))</f>
        <v/>
      </c>
      <c r="AB9" s="25" t="str">
        <f t="array" ref="AB9">IF(SUM(COUNTIF(H9,{"*Deep*";"*Bass*";"*Slap*"})),"Samples,Synthesizer,Bass Guitar,Piano,Drum Kit,Electric Guitar",IF(SUM(COUNTIF(H9,{"*Lo-Fi*"})),"Samples,Synthesizer,Bass Guitar,Piano,Drum Kit,Electric Guitar",IF(SUM(COUNTIF(H9,{"*Tech*"})),"Samples,Synthesizer,Bass Guitar,Piano,Drum Kit,Electric Guitar",IF(SUM(COUNTIF(H9,{"*Indie/Chill Dance*"})),"Samples,Synthesizer,Bass Guitar,Piano,Drum Kit,Electric Guitar",IF(SUM(COUNTIF(H9,{"*Piano*"})),"Samples,Synthesizer,Bass Guitar,Piano,Drum Kit,Electric Guitar",IF(SUM(COUNTIF(H9,{"*EDM*"})),"Samples,Synthesizer,Bass Guitar,Piano,Drum Kit,Electric Guitar",IF(H9="","","")))))))</f>
        <v/>
      </c>
      <c r="AC9" s="25" t="str">
        <f t="array" ref="AC9">IF(N9="Cover","Yes",IF(SUM(COUNTIF(N9,{"*Radio/Extended*";"*Radio*";"*Remix*"})),"No",""))</f>
        <v/>
      </c>
      <c r="AD9" s="25" t="str">
        <f t="array" ref="AD9">IF(N9="Remix","Yes",IF(SUM(COUNTIF(N9,{"*Radio/Extended*";"*Radio*";"*Cover*"})),"No",""))</f>
        <v/>
      </c>
      <c r="AE9" s="25" t="str">
        <f t="shared" si="5"/>
        <v>**English**</v>
      </c>
      <c r="AF9" s="25" t="str">
        <f t="array" aca="1" ref="AF9" ca="1">+TRIM(SUBSTITUTE(SUBSTITUTE(SUBSTITUTE(SUBSTITUTE(IFERROR(AO9&amp;" "&amp;+_xlfn.XLOOKUP(((SUM(LEN(AN9))-SUM(LEN(SUBSTITUTE(AN9,",",""))))/LEN(",")+1)&amp;H9,AV:AV&amp;AW:AW,AY:AY)&amp;CHAR(34)&amp;B9&amp;CHAR(34)&amp;"!"&amp;_xlfn.XLOOKUP(H9,text_list[Genre],text_list[Type based on genre]&amp;text_list[Label]),""),"Second",AP9),"Third",AQ9),"Forth",AR9),"Fifth",AS9&amp;" "))</f>
        <v/>
      </c>
      <c r="AH9" s="25" t="str">
        <f t="shared" si="6"/>
        <v/>
      </c>
      <c r="AI9" s="25" t="str">
        <f t="array" ref="AI9">IF(SUM(COUNTIF(H9,{"*Deep*";"*Bass*";"*Slap*"})),"**Tiësto**Imanbek**",IF(SUM(COUNTIF(H9,{"*Lo-Fi*"})),"**L.Dre**Yasumu**",IF(SUM(COUNTIF(H9,{"*Tech*"})),"**Mau P**Gorgon City**",IF(SUM(COUNTIF(H9,{"*Indie/Chill Dance*"})),"**Felix Jaehn**Lost Frequencies**",IF(SUM(COUNTIF(H9,{"*Piano*"})),"**Avicii**Eric Prydz**",IF(SUM(COUNTIF(H9,{"*EDM*"})),"**David Guetta**Swedish House Mafia**",IF(H9="","","")))))))</f>
        <v/>
      </c>
      <c r="AJ9" s="25" t="str">
        <f t="array" aca="1" ref="AJ9" ca="1">+IFERROR(INDEX(INDIRECT((_xlfn.XLOOKUP(H9,map_country[Genre],map_country[country]))),RANK(INDIRECT((_xlfn.XLOOKUP(H9,map_country[Genre],map_country[min])),FALSE),INDIRECT((_xlfn.XLOOKUP(H9,map_country[Genre],map_country[rand]))),1)),"")</f>
        <v/>
      </c>
      <c r="AK9" s="25" t="str">
        <f t="array" ref="AK9">IF(SUM(COUNTIF(H9,{"*Deep*";"*Bass*";"*Slap*"})),"Cool,Upbeat,Dark",IF(SUM(COUNTIF(H9,{"*Lo-Fi*"})),"Sexy,Relaxing,Romantic",IF(SUM(COUNTIF(H9,{"*Tech*"})),"Cool,Upbeat,Dark",IF(SUM(COUNTIF(H9,{"*Indie/Chill Dance*"})),"Cool,Upbeat,Light",IF(SUM(COUNTIF(H9,{"*Piano*"})),"Cool,Upbeat,Light",IF(SUM(COUNTIF(H9,{"*EDM*"})),"Cool,Upbeat,Happy Mood",IF(H9="","","")))))))</f>
        <v/>
      </c>
      <c r="AL9" s="25" t="str">
        <f t="array" ref="AL9">IF(SUM(COUNTIF(H9,{"*Deep*";"*Bass*";"*Slap*"})),"Hard &amp; Heavy,Chilling Out &amp; Lounging,Happy &amp; Upbeat",IF(SUM(COUNTIF(H9,{"*Lo-Fi*"})),"Work, Study &amp; Reading,Chilling Out &amp; Lounging,Relaxed &amp; Laid Back",IF(SUM(COUNTIF(H9,{"*Tech*"})),"Hard &amp; Heavy,Chilling Out &amp; Lounging,Happy &amp; Upbeat",IF(SUM(COUNTIF(H9,{"*Indie/Chill Dance*"})),"Hard &amp; Heavy,Chilling Out &amp; Lounging,Happy &amp; Upbeat",IF(SUM(COUNTIF(H9,{"*Piano*"})),"Hard &amp; Heavy,Chilling Out &amp; Lounging,Happy &amp; Upbeat",IF(SUM(COUNTIF(H9,{"*EDM*"})),"Hard &amp; Heavy,Chilling Out &amp; Lounging,Happy &amp; Upbeat",IF(H9="","","")))))))</f>
        <v/>
      </c>
      <c r="AN9" s="20" t="str">
        <f t="shared" ref="AN9:AN10" si="8">TRIM(SUBSTITUTE(SUBSTITUTE(SUBSTITUTE(A12,"&amp;",","),"feat",","),".",""))</f>
        <v>Jerry Of Everything, Lo - Fi Music Rudolph, Floating Blue</v>
      </c>
      <c r="AO9" s="20" t="str">
        <f ca="1">IFERROR(_xlfn.TEXTBEFORE(AN9,","),AN9)</f>
        <v>Jerry Of Everything, Lo - Fi Music Rudolph, Floating Blue</v>
      </c>
      <c r="AP9" s="20" t="str">
        <f ca="1">IFERROR(TRIM(SUBSTITUTE(SUBSTITUTE(SUBSTITUTE(SUBSTITUTE(_xlfn.TEXTAFTER(AN9,",",1),AQ9,""),AR9,""),AS9,""),",","")),"")</f>
        <v/>
      </c>
      <c r="AQ9" s="20" t="str">
        <f ca="1">IFERROR(SUBSTITUTE(SUBSTITUTE(SUBSTITUTE(_xlfn.TEXTAFTER(AN9,",",2),AR9,""),",",""),AS9,""),"")</f>
        <v/>
      </c>
      <c r="AR9" s="20" t="str">
        <f ca="1">IFERROR(SUBSTITUTE(SUBSTITUTE(_xlfn.TEXTAFTER(AN9,",",3),AS9,""),",",""),"")</f>
        <v/>
      </c>
      <c r="AS9" s="20" t="str">
        <f ca="1">IFERROR(_xlfn.TEXTAFTER(AN9,",",4),"")</f>
        <v/>
      </c>
      <c r="AV9" s="11">
        <v>3</v>
      </c>
      <c r="AW9" s="9" t="s">
        <v>50</v>
      </c>
      <c r="AX9" s="12" t="s">
        <v>69</v>
      </c>
      <c r="AY9" t="e">
        <f ca="1">+_xlfn.TEXTBEFORE(text_list[[#This Row],[Text]],"''''!",,0)</f>
        <v>#NAME?</v>
      </c>
      <c r="AZ9" t="e">
        <f ca="1">+_xlfn.TEXTBEFORE(_xlfn.TEXTAFTER(text_list[[#This Row],[Text]],"'''!"),"Label")</f>
        <v>#NAME?</v>
      </c>
      <c r="BA9" t="e">
        <f ca="1">+_xlfn.TEXTAFTER(text_list[[#This Row],[Text]],text_list[[#This Row],[Type based on genre]])</f>
        <v>#NAME?</v>
      </c>
      <c r="BB9" t="s">
        <v>42</v>
      </c>
      <c r="BH9" t="s">
        <v>36</v>
      </c>
      <c r="BI9" t="s">
        <v>121</v>
      </c>
      <c r="BJ9" t="s">
        <v>122</v>
      </c>
      <c r="BK9" t="str">
        <f>+map_location[[#This Row],[rand]]</f>
        <v>deep[rand]</v>
      </c>
      <c r="BL9" t="str">
        <f>"R"&amp;ROW(BG3)&amp;"C"&amp;COLUMN(BG3)</f>
        <v>R3C59</v>
      </c>
      <c r="BM9" t="str">
        <f>"R"&amp;ROW(BG4)&amp;"C"&amp;COLUMN(BG4)</f>
        <v>R4C59</v>
      </c>
      <c r="BN9" t="str">
        <f>"R"&amp;ROW(BG5)&amp;"C"&amp;COLUMN(BG5)</f>
        <v>R5C59</v>
      </c>
    </row>
    <row r="10" spans="1:323" x14ac:dyDescent="0.25">
      <c r="A10" t="s">
        <v>123</v>
      </c>
      <c r="B10" t="s">
        <v>119</v>
      </c>
      <c r="D10" t="s">
        <v>107</v>
      </c>
      <c r="E10" t="s">
        <v>108</v>
      </c>
      <c r="F10" s="3">
        <v>5063010719435</v>
      </c>
      <c r="G10" t="s">
        <v>109</v>
      </c>
      <c r="H10" s="7"/>
      <c r="I10" t="s">
        <v>37</v>
      </c>
      <c r="J10" t="s">
        <v>110</v>
      </c>
      <c r="K10" t="s">
        <v>120</v>
      </c>
      <c r="L10" t="s">
        <v>104</v>
      </c>
      <c r="O10" s="25" t="str">
        <f t="shared" si="0"/>
        <v/>
      </c>
      <c r="P10" s="25" t="str">
        <f t="shared" si="1"/>
        <v/>
      </c>
      <c r="Q10" s="25" t="str">
        <f t="shared" si="2"/>
        <v/>
      </c>
      <c r="R10" s="25" t="str">
        <f t="array" ref="R10">IF(SUM(COUNTIF(H10,{"*Deep*";"*Bass*";"*Slap*"})),"Citas:Deep House",IF(SUM(COUNTIF(H10,{"*Lo-Fi*"})),"Citas:Lo-Fi",IF(SUM(COUNTIF(H10,{"*Tech*"})),"Citas:Tech House",IF(SUM(COUNTIF(H10,{"*Indie/Chill Dance*"})),"Citas:Indie/Chill Dance",IF(SUM(COUNTIF(H10,{"*Piano*"})),"Citas:Piano House",IF(SUM(COUNTIF(H10,{"*EDM*"})),"edm dance",IF(H10="","","")))))))</f>
        <v/>
      </c>
      <c r="S10" s="25" t="str">
        <f t="array" ref="S10">IF(SUM(COUNTIF(H10,{"*Deep*";"*Bass*";"*Slap*"})),"energetic",IF(SUM(COUNTIF(H10,{"*Lo-Fi*"})),"calm",IF(SUM(COUNTIF(H10,{"*Tech*"})),"energetic",IF(SUM(COUNTIF(H10,{"*Indie/Chill Dance*"})),"chillout",IF(SUM(COUNTIF(H10,{"*Piano*"})),"energetic",IF(SUM(COUNTIF(H10,{"*EDM*"})),"energetic",IF(H10="","","")))))))</f>
        <v/>
      </c>
      <c r="T10" s="25" t="str">
        <f t="array" ref="T10">IF(SUM(COUNTIF(H10,{"*Tech*";"*EDM*";"*Indie*";"*Deep*";"*Piano*";"*Slap*";"*Brazilian Bass*"})),"Song would perfectly fit in any dance mood playlist! Label will invest up to 5000 EUR advertising on facebook and instagram ads aswell as promoting it over label and label partners playlists, radio stations and press.",IF(SUM(COUNTIF(H10,{"*Lo-Fi*"})),"Song would perfectly fit in any Lo-Fi mood playlist! Label will invest up to 5000 EUR advertising on facebook and instagram ads aswell as promoting it over label and label partners playlists, radio stations and press.",IF(H10="","","")))</f>
        <v/>
      </c>
      <c r="U10" s="25" t="str">
        <f t="shared" si="3"/>
        <v/>
      </c>
      <c r="V10" s="25" t="str">
        <f t="shared" si="4"/>
        <v>Instrumental only</v>
      </c>
      <c r="X10" s="25" t="str">
        <f t="array" aca="1" ref="X10" ca="1">+IF(H10="LO-FI","",IFERROR(INDEX(INDIRECT((_xlfn.XLOOKUP(H10,map_location[Genre],map_location[location]))),RANK(INDIRECT((_xlfn.XLOOKUP(H10,map_location[Genre],map_location[min])),FALSE),INDIRECT((_xlfn.XLOOKUP(H10,map_location[Genre],map_location[rand]))),1)),""))</f>
        <v/>
      </c>
      <c r="Y10" s="25" t="str">
        <f t="array" ref="Y10">IF(SUM(COUNTIF(H10,{"*Deep*";"*Bass*";"*Slap*"})),"**Deep House**House**Dance**",IF(SUM(COUNTIF(H10,{"*Lo-Fi*"})),"**Lo-Fi Pop**Lo-Fi Beats**Lo-Fi**",IF(SUM(COUNTIF(H10,{"*Tech*"})),"**Deep House**Tech House**Dance**",IF(SUM(COUNTIF(H10,{"*Indie/Chill Dance*"})),"**Indie Dance**Indie Electronic**Dance Pop**",IF(SUM(COUNTIF(H10,{"*Piano*"})),"**House**Electro house**Melodic House**",IF(SUM(COUNTIF(H10,{"*EDM*"})),"**EDM**Electro house**Dance Pop**",IF(H10="","","")))))))</f>
        <v/>
      </c>
      <c r="Z10" s="25" t="str">
        <f t="array" ref="Z10">IF(SUM(COUNTIF(H10,{"*Deep*";"*Bass*";"*Slap*"})),"Energetic,Happy",IF(SUM(COUNTIF(H10,{"*Lo-Fi*"})),"Romantic,Chill",IF(SUM(COUNTIF(H10,{"*Tech*"})),"Energetic,Happy",IF(SUM(COUNTIF(H10,{"*Indie/Chill Dance*"})),"Energetic,Chill",IF(SUM(COUNTIF(H10,{"*Piano*"})),"Energetic,Happy",IF(SUM(COUNTIF(H10,{"*EDM*"})),"Energetic,Happy",IF(H10="","","")))))))</f>
        <v/>
      </c>
      <c r="AA10" s="25" t="str">
        <f t="array" ref="AA10">IF(SUM(COUNTIF(H10,{"*Deep*";"*Bass*";"*Slap*"})),"None of these",IF(SUM(COUNTIF(H10,{"*Lo-Fi*"})),"Holiday,Beats",IF(SUM(COUNTIF(H10,{"*Tech*"})),"None of these",IF(SUM(COUNTIF(H10,{"*Indie/Chill Dance*"})),"None of these",IF(SUM(COUNTIF(H10,{"*Piano*"})),"None of these",IF(SUM(COUNTIF(H10,{"*EDM*"})),"None of these",IF(H10="","","")))))))</f>
        <v/>
      </c>
      <c r="AB10" s="25" t="str">
        <f t="array" ref="AB10">IF(SUM(COUNTIF(H10,{"*Deep*";"*Bass*";"*Slap*"})),"Samples,Synthesizer,Bass Guitar,Piano,Drum Kit,Electric Guitar",IF(SUM(COUNTIF(H10,{"*Lo-Fi*"})),"Samples,Synthesizer,Bass Guitar,Piano,Drum Kit,Electric Guitar",IF(SUM(COUNTIF(H10,{"*Tech*"})),"Samples,Synthesizer,Bass Guitar,Piano,Drum Kit,Electric Guitar",IF(SUM(COUNTIF(H10,{"*Indie/Chill Dance*"})),"Samples,Synthesizer,Bass Guitar,Piano,Drum Kit,Electric Guitar",IF(SUM(COUNTIF(H10,{"*Piano*"})),"Samples,Synthesizer,Bass Guitar,Piano,Drum Kit,Electric Guitar",IF(SUM(COUNTIF(H10,{"*EDM*"})),"Samples,Synthesizer,Bass Guitar,Piano,Drum Kit,Electric Guitar",IF(H10="","","")))))))</f>
        <v/>
      </c>
      <c r="AC10" s="25" t="str">
        <f t="array" ref="AC10">IF(N10="Cover","Yes",IF(SUM(COUNTIF(N10,{"*Radio/Extended*";"*Radio*";"*Remix*"})),"No",""))</f>
        <v/>
      </c>
      <c r="AD10" s="25" t="str">
        <f t="array" ref="AD10">IF(N10="Remix","Yes",IF(SUM(COUNTIF(N10,{"*Radio/Extended*";"*Radio*";"*Cover*"})),"No",""))</f>
        <v/>
      </c>
      <c r="AE10" s="25" t="str">
        <f t="shared" si="5"/>
        <v>**English**</v>
      </c>
      <c r="AF10" s="25" t="str">
        <f t="array" aca="1" ref="AF10" ca="1">+TRIM(SUBSTITUTE(SUBSTITUTE(SUBSTITUTE(SUBSTITUTE(IFERROR(AO10&amp;" "&amp;+_xlfn.XLOOKUP(((SUM(LEN(AN10))-SUM(LEN(SUBSTITUTE(AN10,",",""))))/LEN(",")+1)&amp;H10,AV:AV&amp;AW:AW,AY:AY)&amp;CHAR(34)&amp;B10&amp;CHAR(34)&amp;"!"&amp;_xlfn.XLOOKUP(H10,text_list[Genre],text_list[Type based on genre]&amp;text_list[Label]),""),"Second",AP10),"Third",AQ10),"Forth",AR10),"Fifth",AS10&amp;" "))</f>
        <v/>
      </c>
      <c r="AH10" s="25" t="str">
        <f t="shared" si="6"/>
        <v/>
      </c>
      <c r="AI10" s="25" t="str">
        <f t="array" ref="AI10">IF(SUM(COUNTIF(H10,{"*Deep*";"*Bass*";"*Slap*"})),"**Tiësto**Imanbek**",IF(SUM(COUNTIF(H10,{"*Lo-Fi*"})),"**L.Dre**Yasumu**",IF(SUM(COUNTIF(H10,{"*Tech*"})),"**Mau P**Gorgon City**",IF(SUM(COUNTIF(H10,{"*Indie/Chill Dance*"})),"**Felix Jaehn**Lost Frequencies**",IF(SUM(COUNTIF(H10,{"*Piano*"})),"**Avicii**Eric Prydz**",IF(SUM(COUNTIF(H10,{"*EDM*"})),"**David Guetta**Swedish House Mafia**",IF(H10="","","")))))))</f>
        <v/>
      </c>
      <c r="AJ10" s="25" t="str">
        <f t="array" aca="1" ref="AJ10" ca="1">+IFERROR(INDEX(INDIRECT((_xlfn.XLOOKUP(H10,map_country[Genre],map_country[country]))),RANK(INDIRECT((_xlfn.XLOOKUP(H10,map_country[Genre],map_country[min])),FALSE),INDIRECT((_xlfn.XLOOKUP(H10,map_country[Genre],map_country[rand]))),1)),"")</f>
        <v/>
      </c>
      <c r="AK10" s="25" t="str">
        <f t="array" ref="AK10">IF(SUM(COUNTIF(H10,{"*Deep*";"*Bass*";"*Slap*"})),"Cool,Upbeat,Dark",IF(SUM(COUNTIF(H10,{"*Lo-Fi*"})),"Sexy,Relaxing,Romantic",IF(SUM(COUNTIF(H10,{"*Tech*"})),"Cool,Upbeat,Dark",IF(SUM(COUNTIF(H10,{"*Indie/Chill Dance*"})),"Cool,Upbeat,Light",IF(SUM(COUNTIF(H10,{"*Piano*"})),"Cool,Upbeat,Light",IF(SUM(COUNTIF(H10,{"*EDM*"})),"Cool,Upbeat,Happy Mood",IF(H10="","","")))))))</f>
        <v/>
      </c>
      <c r="AL10" s="25" t="str">
        <f t="array" ref="AL10">IF(SUM(COUNTIF(H10,{"*Deep*";"*Bass*";"*Slap*"})),"Hard &amp; Heavy,Chilling Out &amp; Lounging,Happy &amp; Upbeat",IF(SUM(COUNTIF(H10,{"*Lo-Fi*"})),"Work, Study &amp; Reading,Chilling Out &amp; Lounging,Relaxed &amp; Laid Back",IF(SUM(COUNTIF(H10,{"*Tech*"})),"Hard &amp; Heavy,Chilling Out &amp; Lounging,Happy &amp; Upbeat",IF(SUM(COUNTIF(H10,{"*Indie/Chill Dance*"})),"Hard &amp; Heavy,Chilling Out &amp; Lounging,Happy &amp; Upbeat",IF(SUM(COUNTIF(H10,{"*Piano*"})),"Hard &amp; Heavy,Chilling Out &amp; Lounging,Happy &amp; Upbeat",IF(SUM(COUNTIF(H10,{"*EDM*"})),"Hard &amp; Heavy,Chilling Out &amp; Lounging,Happy &amp; Upbeat",IF(H10="","","")))))))</f>
        <v/>
      </c>
      <c r="AN10" s="20" t="str">
        <f t="shared" si="8"/>
        <v>Aesthetic Lofi</v>
      </c>
      <c r="AO10" s="20" t="str">
        <f ca="1">IFERROR(_xlfn.TEXTBEFORE(AN10,","),AN10)</f>
        <v>Aesthetic Lofi</v>
      </c>
      <c r="AP10" s="20" t="str">
        <f ca="1">IFERROR(TRIM(SUBSTITUTE(SUBSTITUTE(SUBSTITUTE(SUBSTITUTE(_xlfn.TEXTAFTER(AN10,",",1),AQ10,""),AR10,""),AS10,""),",","")),"")</f>
        <v/>
      </c>
      <c r="AQ10" s="20" t="str">
        <f ca="1">IFERROR(SUBSTITUTE(SUBSTITUTE(SUBSTITUTE(_xlfn.TEXTAFTER(AN10,",",2),AR10,""),",",""),AS10,""),"")</f>
        <v/>
      </c>
      <c r="AR10" s="20" t="str">
        <f ca="1">IFERROR(SUBSTITUTE(SUBSTITUTE(_xlfn.TEXTAFTER(AN10,",",3),AS10,""),",",""),"")</f>
        <v/>
      </c>
      <c r="AS10" s="20" t="str">
        <f ca="1">IFERROR(_xlfn.TEXTAFTER(AN10,",",4),"")</f>
        <v/>
      </c>
      <c r="AV10" s="11">
        <v>4</v>
      </c>
      <c r="AW10" s="9" t="s">
        <v>50</v>
      </c>
      <c r="AX10" s="12" t="s">
        <v>124</v>
      </c>
      <c r="AY10" t="e">
        <f ca="1">+_xlfn.TEXTBEFORE(text_list[[#This Row],[Text]],"''''!",,0)</f>
        <v>#NAME?</v>
      </c>
      <c r="AZ10" t="e">
        <f ca="1">+_xlfn.TEXTBEFORE(_xlfn.TEXTAFTER(text_list[[#This Row],[Text]],"'''!"),"Label")</f>
        <v>#NAME?</v>
      </c>
      <c r="BA10" t="e">
        <f ca="1">+_xlfn.TEXTAFTER(text_list[[#This Row],[Text]],text_list[[#This Row],[Type based on genre]])</f>
        <v>#NAME?</v>
      </c>
      <c r="BB10" t="s">
        <v>42</v>
      </c>
      <c r="BH10" t="s">
        <v>50</v>
      </c>
      <c r="BI10" t="s">
        <v>125</v>
      </c>
      <c r="BJ10" t="s">
        <v>126</v>
      </c>
      <c r="BK10" t="s">
        <v>127</v>
      </c>
      <c r="BL10" t="str">
        <f>"R"&amp;ROW(BK3)&amp;"C"&amp;COLUMN(BK3)</f>
        <v>R3C63</v>
      </c>
      <c r="BM10" t="str">
        <f>"R"&amp;ROW(BK4)&amp;"C"&amp;COLUMN(BK4)</f>
        <v>R4C63</v>
      </c>
      <c r="BN10" t="str">
        <f>"R"&amp;ROW(BK5)&amp;"C"&amp;COLUMN(BK5)</f>
        <v>R5C63</v>
      </c>
    </row>
    <row r="11" spans="1:323" x14ac:dyDescent="0.25">
      <c r="A11" t="s">
        <v>128</v>
      </c>
      <c r="B11" t="s">
        <v>119</v>
      </c>
      <c r="D11" t="s">
        <v>107</v>
      </c>
      <c r="E11" t="s">
        <v>108</v>
      </c>
      <c r="F11" s="3">
        <v>5063010719435</v>
      </c>
      <c r="G11" t="s">
        <v>109</v>
      </c>
      <c r="H11" s="7"/>
      <c r="I11" t="s">
        <v>37</v>
      </c>
      <c r="J11" t="s">
        <v>110</v>
      </c>
      <c r="K11" t="s">
        <v>120</v>
      </c>
      <c r="L11" t="s">
        <v>104</v>
      </c>
      <c r="O11" s="25" t="str">
        <f t="shared" si="0"/>
        <v/>
      </c>
      <c r="P11" s="25" t="str">
        <f t="shared" si="1"/>
        <v/>
      </c>
      <c r="Q11" s="25" t="str">
        <f t="shared" si="2"/>
        <v/>
      </c>
      <c r="R11" s="25" t="str">
        <f t="array" ref="R11">IF(SUM(COUNTIF(H11,{"*Deep*";"*Bass*";"*Slap*"})),"Citas:Deep House",IF(SUM(COUNTIF(H11,{"*Lo-Fi*"})),"Citas:Lo-Fi",IF(SUM(COUNTIF(H11,{"*Tech*"})),"Citas:Tech House",IF(SUM(COUNTIF(H11,{"*Indie/Chill Dance*"})),"Citas:Indie/Chill Dance",IF(SUM(COUNTIF(H11,{"*Piano*"})),"Citas:Piano House",IF(SUM(COUNTIF(H11,{"*EDM*"})),"edm dance",IF(H11="","","")))))))</f>
        <v/>
      </c>
      <c r="S11" s="25" t="str">
        <f t="array" ref="S11">IF(SUM(COUNTIF(H11,{"*Deep*";"*Bass*";"*Slap*"})),"energetic",IF(SUM(COUNTIF(H11,{"*Lo-Fi*"})),"calm",IF(SUM(COUNTIF(H11,{"*Tech*"})),"energetic",IF(SUM(COUNTIF(H11,{"*Indie/Chill Dance*"})),"chillout",IF(SUM(COUNTIF(H11,{"*Piano*"})),"energetic",IF(SUM(COUNTIF(H11,{"*EDM*"})),"energetic",IF(H11="","","")))))))</f>
        <v/>
      </c>
      <c r="T11" s="25" t="str">
        <f t="array" ref="T11">IF(SUM(COUNTIF(H11,{"*Tech*";"*EDM*";"*Indie*";"*Deep*";"*Piano*";"*Slap*";"*Brazilian Bass*"})),"Song would perfectly fit in any dance mood playlist! Label will invest up to 5000 EUR advertising on facebook and instagram ads aswell as promoting it over label and label partners playlists, radio stations and press.",IF(SUM(COUNTIF(H11,{"*Lo-Fi*"})),"Song would perfectly fit in any Lo-Fi mood playlist! Label will invest up to 5000 EUR advertising on facebook and instagram ads aswell as promoting it over label and label partners playlists, radio stations and press.",IF(H11="","","")))</f>
        <v/>
      </c>
      <c r="U11" s="25" t="str">
        <f t="shared" si="3"/>
        <v/>
      </c>
      <c r="V11" s="25" t="str">
        <f t="shared" si="4"/>
        <v>Instrumental only</v>
      </c>
      <c r="X11" s="25" t="str">
        <f t="array" aca="1" ref="X11" ca="1">+IF(H11="LO-FI","",IFERROR(INDEX(INDIRECT((_xlfn.XLOOKUP(H11,map_location[Genre],map_location[location]))),RANK(INDIRECT((_xlfn.XLOOKUP(H11,map_location[Genre],map_location[min])),FALSE),INDIRECT((_xlfn.XLOOKUP(H11,map_location[Genre],map_location[rand]))),1)),""))</f>
        <v/>
      </c>
      <c r="Y11" s="25" t="str">
        <f t="array" ref="Y11">IF(SUM(COUNTIF(H11,{"*Deep*";"*Bass*";"*Slap*"})),"**Deep House**House**Dance**",IF(SUM(COUNTIF(H11,{"*Lo-Fi*"})),"**Lo-Fi Pop**Lo-Fi Beats**Lo-Fi**",IF(SUM(COUNTIF(H11,{"*Tech*"})),"**Deep House**Tech House**Dance**",IF(SUM(COUNTIF(H11,{"*Indie/Chill Dance*"})),"**Indie Dance**Indie Electronic**Dance Pop**",IF(SUM(COUNTIF(H11,{"*Piano*"})),"**House**Electro house**Melodic House**",IF(SUM(COUNTIF(H11,{"*EDM*"})),"**EDM**Electro house**Dance Pop**",IF(H11="","","")))))))</f>
        <v/>
      </c>
      <c r="Z11" s="25" t="str">
        <f t="array" ref="Z11">IF(SUM(COUNTIF(H11,{"*Deep*";"*Bass*";"*Slap*"})),"Energetic,Happy",IF(SUM(COUNTIF(H11,{"*Lo-Fi*"})),"Romantic,Chill",IF(SUM(COUNTIF(H11,{"*Tech*"})),"Energetic,Happy",IF(SUM(COUNTIF(H11,{"*Indie/Chill Dance*"})),"Energetic,Chill",IF(SUM(COUNTIF(H11,{"*Piano*"})),"Energetic,Happy",IF(SUM(COUNTIF(H11,{"*EDM*"})),"Energetic,Happy",IF(H11="","","")))))))</f>
        <v/>
      </c>
      <c r="AA11" s="25" t="str">
        <f t="array" ref="AA11">IF(SUM(COUNTIF(H11,{"*Deep*";"*Bass*";"*Slap*"})),"None of these",IF(SUM(COUNTIF(H11,{"*Lo-Fi*"})),"Holiday,Beats",IF(SUM(COUNTIF(H11,{"*Tech*"})),"None of these",IF(SUM(COUNTIF(H11,{"*Indie/Chill Dance*"})),"None of these",IF(SUM(COUNTIF(H11,{"*Piano*"})),"None of these",IF(SUM(COUNTIF(H11,{"*EDM*"})),"None of these",IF(H11="","","")))))))</f>
        <v/>
      </c>
      <c r="AB11" s="25" t="str">
        <f t="array" ref="AB11">IF(SUM(COUNTIF(H11,{"*Deep*";"*Bass*";"*Slap*"})),"Samples,Synthesizer,Bass Guitar,Piano,Drum Kit,Electric Guitar",IF(SUM(COUNTIF(H11,{"*Lo-Fi*"})),"Samples,Synthesizer,Bass Guitar,Piano,Drum Kit,Electric Guitar",IF(SUM(COUNTIF(H11,{"*Tech*"})),"Samples,Synthesizer,Bass Guitar,Piano,Drum Kit,Electric Guitar",IF(SUM(COUNTIF(H11,{"*Indie/Chill Dance*"})),"Samples,Synthesizer,Bass Guitar,Piano,Drum Kit,Electric Guitar",IF(SUM(COUNTIF(H11,{"*Piano*"})),"Samples,Synthesizer,Bass Guitar,Piano,Drum Kit,Electric Guitar",IF(SUM(COUNTIF(H11,{"*EDM*"})),"Samples,Synthesizer,Bass Guitar,Piano,Drum Kit,Electric Guitar",IF(H11="","","")))))))</f>
        <v/>
      </c>
      <c r="AC11" s="25" t="str">
        <f t="array" ref="AC11">IF(N11="Cover","Yes",IF(SUM(COUNTIF(N11,{"*Radio/Extended*";"*Radio*";"*Remix*"})),"No",""))</f>
        <v/>
      </c>
      <c r="AD11" s="25" t="str">
        <f t="array" ref="AD11">IF(N11="Remix","Yes",IF(SUM(COUNTIF(N11,{"*Radio/Extended*";"*Radio*";"*Cover*"})),"No",""))</f>
        <v/>
      </c>
      <c r="AE11" s="25" t="str">
        <f t="shared" si="5"/>
        <v>**English**</v>
      </c>
      <c r="AF11" s="25" t="str">
        <f t="array" aca="1" ref="AF11" ca="1">+TRIM(SUBSTITUTE(SUBSTITUTE(SUBSTITUTE(SUBSTITUTE(IFERROR(AO11&amp;" "&amp;+_xlfn.XLOOKUP(((SUM(LEN(AN11))-SUM(LEN(SUBSTITUTE(AN11,",",""))))/LEN(",")+1)&amp;H11,AV:AV&amp;AW:AW,AY:AY)&amp;CHAR(34)&amp;B11&amp;CHAR(34)&amp;"!"&amp;_xlfn.XLOOKUP(H11,text_list[Genre],text_list[Type based on genre]&amp;text_list[Label]),""),"Second",AP11),"Third",AQ11),"Forth",AR11),"Fifth",AS11&amp;" "))</f>
        <v/>
      </c>
      <c r="AH11" s="25" t="str">
        <f t="shared" si="6"/>
        <v/>
      </c>
      <c r="AI11" s="25" t="str">
        <f t="array" ref="AI11">IF(SUM(COUNTIF(H11,{"*Deep*";"*Bass*";"*Slap*"})),"**Tiësto**Imanbek**",IF(SUM(COUNTIF(H11,{"*Lo-Fi*"})),"**L.Dre**Yasumu**",IF(SUM(COUNTIF(H11,{"*Tech*"})),"**Mau P**Gorgon City**",IF(SUM(COUNTIF(H11,{"*Indie/Chill Dance*"})),"**Felix Jaehn**Lost Frequencies**",IF(SUM(COUNTIF(H11,{"*Piano*"})),"**Avicii**Eric Prydz**",IF(SUM(COUNTIF(H11,{"*EDM*"})),"**David Guetta**Swedish House Mafia**",IF(H11="","","")))))))</f>
        <v/>
      </c>
      <c r="AJ11" s="25" t="str">
        <f t="array" aca="1" ref="AJ11" ca="1">+IFERROR(INDEX(INDIRECT((_xlfn.XLOOKUP(H11,map_country[Genre],map_country[country]))),RANK(INDIRECT((_xlfn.XLOOKUP(H11,map_country[Genre],map_country[min])),FALSE),INDIRECT((_xlfn.XLOOKUP(H11,map_country[Genre],map_country[rand]))),1)),"")</f>
        <v/>
      </c>
      <c r="AK11" s="25" t="str">
        <f t="array" ref="AK11">IF(SUM(COUNTIF(H11,{"*Deep*";"*Bass*";"*Slap*"})),"Cool,Upbeat,Dark",IF(SUM(COUNTIF(H11,{"*Lo-Fi*"})),"Sexy,Relaxing,Romantic",IF(SUM(COUNTIF(H11,{"*Tech*"})),"Cool,Upbeat,Dark",IF(SUM(COUNTIF(H11,{"*Indie/Chill Dance*"})),"Cool,Upbeat,Light",IF(SUM(COUNTIF(H11,{"*Piano*"})),"Cool,Upbeat,Light",IF(SUM(COUNTIF(H11,{"*EDM*"})),"Cool,Upbeat,Happy Mood",IF(H11="","","")))))))</f>
        <v/>
      </c>
      <c r="AL11" s="25" t="str">
        <f t="array" ref="AL11">IF(SUM(COUNTIF(H11,{"*Deep*";"*Bass*";"*Slap*"})),"Hard &amp; Heavy,Chilling Out &amp; Lounging,Happy &amp; Upbeat",IF(SUM(COUNTIF(H11,{"*Lo-Fi*"})),"Work, Study &amp; Reading,Chilling Out &amp; Lounging,Relaxed &amp; Laid Back",IF(SUM(COUNTIF(H11,{"*Tech*"})),"Hard &amp; Heavy,Chilling Out &amp; Lounging,Happy &amp; Upbeat",IF(SUM(COUNTIF(H11,{"*Indie/Chill Dance*"})),"Hard &amp; Heavy,Chilling Out &amp; Lounging,Happy &amp; Upbeat",IF(SUM(COUNTIF(H11,{"*Piano*"})),"Hard &amp; Heavy,Chilling Out &amp; Lounging,Happy &amp; Upbeat",IF(SUM(COUNTIF(H11,{"*EDM*"})),"Hard &amp; Heavy,Chilling Out &amp; Lounging,Happy &amp; Upbeat",IF(H11="","","")))))))</f>
        <v/>
      </c>
      <c r="AN11" s="20" t="str">
        <f>TRIM(SUBSTITUTE(SUBSTITUTE(SUBSTITUTE(A16,"&amp;",","),"feat",","),".",""))</f>
        <v/>
      </c>
      <c r="AO11" s="20" t="str">
        <f ca="1">IFERROR(_xlfn.TEXTBEFORE(AN11,","),AN11)</f>
        <v/>
      </c>
      <c r="AP11" s="20" t="str">
        <f ca="1">IFERROR(TRIM(SUBSTITUTE(SUBSTITUTE(SUBSTITUTE(SUBSTITUTE(_xlfn.TEXTAFTER(AN11,",",1),AQ11,""),AR11,""),AS11,""),",","")),"")</f>
        <v/>
      </c>
      <c r="AQ11" s="20" t="str">
        <f ca="1">IFERROR(SUBSTITUTE(SUBSTITUTE(SUBSTITUTE(_xlfn.TEXTAFTER(AN11,",",2),AR11,""),",",""),AS11,""),"")</f>
        <v/>
      </c>
      <c r="AR11" s="20" t="str">
        <f ca="1">IFERROR(SUBSTITUTE(SUBSTITUTE(_xlfn.TEXTAFTER(AN11,",",3),AS11,""),",",""),"")</f>
        <v/>
      </c>
      <c r="AS11" s="20" t="str">
        <f ca="1">IFERROR(_xlfn.TEXTAFTER(AN11,",",4),"")</f>
        <v/>
      </c>
      <c r="AV11" s="11">
        <v>5</v>
      </c>
      <c r="AW11" s="9" t="s">
        <v>50</v>
      </c>
      <c r="AX11" s="12" t="s">
        <v>95</v>
      </c>
      <c r="AY11" t="e">
        <f ca="1">+_xlfn.TEXTBEFORE(text_list[[#This Row],[Text]],"''''!",,0)</f>
        <v>#NAME?</v>
      </c>
      <c r="AZ11" t="e">
        <f ca="1">+_xlfn.TEXTBEFORE(_xlfn.TEXTAFTER(text_list[[#This Row],[Text]],"'''!"),"Label")</f>
        <v>#NAME?</v>
      </c>
      <c r="BA11" t="e">
        <f ca="1">+_xlfn.TEXTAFTER(text_list[[#This Row],[Text]],text_list[[#This Row],[Type based on genre]])</f>
        <v>#NAME?</v>
      </c>
      <c r="BB11" t="s">
        <v>42</v>
      </c>
      <c r="BH11" t="s">
        <v>52</v>
      </c>
      <c r="BI11" t="s">
        <v>129</v>
      </c>
      <c r="BJ11" t="s">
        <v>130</v>
      </c>
      <c r="BK11" t="str">
        <f>+map_location[[#This Row],[rand]]</f>
        <v>piano[rand]</v>
      </c>
      <c r="BL11" t="str">
        <f>"R"&amp;ROW(BP3)&amp;"C"&amp;COLUMN(BP3)</f>
        <v>R3C68</v>
      </c>
      <c r="BM11" t="str">
        <f>"R"&amp;ROW(BP4)&amp;"C"&amp;COLUMN(BP4)</f>
        <v>R4C68</v>
      </c>
      <c r="BN11" t="str">
        <f>"R"&amp;ROW(BP5)&amp;"C"&amp;COLUMN(BP5)</f>
        <v>R5C68</v>
      </c>
    </row>
    <row r="12" spans="1:323" x14ac:dyDescent="0.25">
      <c r="A12" t="s">
        <v>131</v>
      </c>
      <c r="B12" t="s">
        <v>119</v>
      </c>
      <c r="D12" t="s">
        <v>107</v>
      </c>
      <c r="E12" t="s">
        <v>108</v>
      </c>
      <c r="F12" s="3">
        <v>5063010719435</v>
      </c>
      <c r="G12" t="s">
        <v>109</v>
      </c>
      <c r="H12" s="7"/>
      <c r="I12" t="s">
        <v>37</v>
      </c>
      <c r="J12" t="s">
        <v>110</v>
      </c>
      <c r="K12" t="s">
        <v>120</v>
      </c>
      <c r="L12" t="s">
        <v>104</v>
      </c>
      <c r="O12" s="25" t="str">
        <f t="shared" si="0"/>
        <v/>
      </c>
      <c r="P12" s="25" t="str">
        <f t="shared" si="1"/>
        <v/>
      </c>
      <c r="Q12" s="25" t="str">
        <f t="shared" si="2"/>
        <v/>
      </c>
      <c r="R12" s="25" t="str">
        <f t="array" ref="R12">IF(SUM(COUNTIF(H12,{"*Deep*";"*Bass*";"*Slap*"})),"Citas:Deep House",IF(SUM(COUNTIF(H12,{"*Lo-Fi*"})),"Citas:Lo-Fi",IF(SUM(COUNTIF(H12,{"*Tech*"})),"Citas:Tech House",IF(SUM(COUNTIF(H12,{"*Indie/Chill Dance*"})),"Citas:Indie/Chill Dance",IF(SUM(COUNTIF(H12,{"*Piano*"})),"Citas:Piano House",IF(SUM(COUNTIF(H12,{"*EDM*"})),"edm dance",IF(H12="","","")))))))</f>
        <v/>
      </c>
      <c r="S12" s="25" t="str">
        <f t="array" ref="S12">IF(SUM(COUNTIF(H12,{"*Deep*";"*Bass*";"*Slap*"})),"energetic",IF(SUM(COUNTIF(H12,{"*Lo-Fi*"})),"calm",IF(SUM(COUNTIF(H12,{"*Tech*"})),"energetic",IF(SUM(COUNTIF(H12,{"*Indie/Chill Dance*"})),"chillout",IF(SUM(COUNTIF(H12,{"*Piano*"})),"energetic",IF(SUM(COUNTIF(H12,{"*EDM*"})),"energetic",IF(H12="","","")))))))</f>
        <v/>
      </c>
      <c r="T12" s="25" t="str">
        <f t="array" ref="T12">IF(SUM(COUNTIF(H12,{"*Tech*";"*EDM*";"*Indie*";"*Deep*";"*Piano*";"*Slap*";"*Brazilian Bass*"})),"Song would perfectly fit in any dance mood playlist! Label will invest up to 5000 EUR advertising on facebook and instagram ads aswell as promoting it over label and label partners playlists, radio stations and press.",IF(SUM(COUNTIF(H12,{"*Lo-Fi*"})),"Song would perfectly fit in any Lo-Fi mood playlist! Label will invest up to 5000 EUR advertising on facebook and instagram ads aswell as promoting it over label and label partners playlists, radio stations and press.",IF(H12="","","")))</f>
        <v/>
      </c>
      <c r="U12" s="25" t="str">
        <f t="shared" si="3"/>
        <v/>
      </c>
      <c r="V12" s="25" t="str">
        <f t="shared" si="4"/>
        <v>Instrumental only</v>
      </c>
      <c r="X12" s="25" t="str">
        <f t="array" aca="1" ref="X12" ca="1">+IF(H12="LO-FI","",IFERROR(INDEX(INDIRECT((_xlfn.XLOOKUP(H12,map_location[Genre],map_location[location]))),RANK(INDIRECT((_xlfn.XLOOKUP(H12,map_location[Genre],map_location[min])),FALSE),INDIRECT((_xlfn.XLOOKUP(H12,map_location[Genre],map_location[rand]))),1)),""))</f>
        <v/>
      </c>
      <c r="Y12" s="25" t="str">
        <f t="array" ref="Y12">IF(SUM(COUNTIF(H12,{"*Deep*";"*Bass*";"*Slap*"})),"**Deep House**House**Dance**",IF(SUM(COUNTIF(H12,{"*Lo-Fi*"})),"**Lo-Fi Pop**Lo-Fi Beats**Lo-Fi**",IF(SUM(COUNTIF(H12,{"*Tech*"})),"**Deep House**Tech House**Dance**",IF(SUM(COUNTIF(H12,{"*Indie/Chill Dance*"})),"**Indie Dance**Indie Electronic**Dance Pop**",IF(SUM(COUNTIF(H12,{"*Piano*"})),"**House**Electro house**Melodic House**",IF(SUM(COUNTIF(H12,{"*EDM*"})),"**EDM**Electro house**Dance Pop**",IF(H12="","","")))))))</f>
        <v/>
      </c>
      <c r="Z12" s="25" t="str">
        <f t="array" ref="Z12">IF(SUM(COUNTIF(H12,{"*Deep*";"*Bass*";"*Slap*"})),"Energetic,Happy",IF(SUM(COUNTIF(H12,{"*Lo-Fi*"})),"Romantic,Chill",IF(SUM(COUNTIF(H12,{"*Tech*"})),"Energetic,Happy",IF(SUM(COUNTIF(H12,{"*Indie/Chill Dance*"})),"Energetic,Chill",IF(SUM(COUNTIF(H12,{"*Piano*"})),"Energetic,Happy",IF(SUM(COUNTIF(H12,{"*EDM*"})),"Energetic,Happy",IF(H12="","","")))))))</f>
        <v/>
      </c>
      <c r="AA12" s="25" t="str">
        <f t="array" ref="AA12">IF(SUM(COUNTIF(H12,{"*Deep*";"*Bass*";"*Slap*"})),"None of these",IF(SUM(COUNTIF(H12,{"*Lo-Fi*"})),"Holiday,Beats",IF(SUM(COUNTIF(H12,{"*Tech*"})),"None of these",IF(SUM(COUNTIF(H12,{"*Indie/Chill Dance*"})),"None of these",IF(SUM(COUNTIF(H12,{"*Piano*"})),"None of these",IF(SUM(COUNTIF(H12,{"*EDM*"})),"None of these",IF(H12="","","")))))))</f>
        <v/>
      </c>
      <c r="AB12" s="25" t="str">
        <f t="array" ref="AB12">IF(SUM(COUNTIF(H12,{"*Deep*";"*Bass*";"*Slap*"})),"Samples,Synthesizer,Bass Guitar,Piano,Drum Kit,Electric Guitar",IF(SUM(COUNTIF(H12,{"*Lo-Fi*"})),"Samples,Synthesizer,Bass Guitar,Piano,Drum Kit,Electric Guitar",IF(SUM(COUNTIF(H12,{"*Tech*"})),"Samples,Synthesizer,Bass Guitar,Piano,Drum Kit,Electric Guitar",IF(SUM(COUNTIF(H12,{"*Indie/Chill Dance*"})),"Samples,Synthesizer,Bass Guitar,Piano,Drum Kit,Electric Guitar",IF(SUM(COUNTIF(H12,{"*Piano*"})),"Samples,Synthesizer,Bass Guitar,Piano,Drum Kit,Electric Guitar",IF(SUM(COUNTIF(H12,{"*EDM*"})),"Samples,Synthesizer,Bass Guitar,Piano,Drum Kit,Electric Guitar",IF(H12="","","")))))))</f>
        <v/>
      </c>
      <c r="AC12" s="25" t="str">
        <f t="array" ref="AC12">IF(N12="Cover","Yes",IF(SUM(COUNTIF(N12,{"*Radio/Extended*";"*Radio*";"*Remix*"})),"No",""))</f>
        <v/>
      </c>
      <c r="AD12" s="25" t="str">
        <f t="array" ref="AD12">IF(N12="Remix","Yes",IF(SUM(COUNTIF(N12,{"*Radio/Extended*";"*Radio*";"*Cover*"})),"No",""))</f>
        <v/>
      </c>
      <c r="AE12" s="25" t="str">
        <f t="shared" si="5"/>
        <v>**English**</v>
      </c>
      <c r="AF12" s="25" t="str">
        <f t="array" aca="1" ref="AF12" ca="1">+TRIM(SUBSTITUTE(SUBSTITUTE(SUBSTITUTE(SUBSTITUTE(IFERROR(AO12&amp;" "&amp;+_xlfn.XLOOKUP(((SUM(LEN(AN12))-SUM(LEN(SUBSTITUTE(AN12,",",""))))/LEN(",")+1)&amp;H12,AV:AV&amp;AW:AW,AY:AY)&amp;CHAR(34)&amp;B12&amp;CHAR(34)&amp;"!"&amp;_xlfn.XLOOKUP(H12,text_list[Genre],text_list[Type based on genre]&amp;text_list[Label]),""),"Second",AP12),"Third",AQ12),"Forth",AR12),"Fifth",AS12&amp;" "))</f>
        <v/>
      </c>
      <c r="AI12" s="25" t="str">
        <f t="array" ref="AI12">IF(SUM(COUNTIF(H12,{"*Deep*";"*Bass*";"*Slap*"})),"**Tiësto**Imanbek**",IF(SUM(COUNTIF(H12,{"*Lo-Fi*"})),"**L.Dre**Yasumu**",IF(SUM(COUNTIF(H12,{"*Tech*"})),"**Mau P**Gorgon City**",IF(SUM(COUNTIF(H12,{"*Indie/Chill Dance*"})),"**Felix Jaehn**Lost Frequencies**",IF(SUM(COUNTIF(H12,{"*Piano*"})),"**Avicii**Eric Prydz**",IF(SUM(COUNTIF(H12,{"*EDM*"})),"**David Guetta**Swedish House Mafia**",IF(H12="","","")))))))</f>
        <v/>
      </c>
      <c r="AJ12" s="25" t="str">
        <f t="array" aca="1" ref="AJ12" ca="1">+IFERROR(INDEX(INDIRECT((_xlfn.XLOOKUP(H12,map_country[Genre],map_country[country]))),RANK(INDIRECT((_xlfn.XLOOKUP(H12,map_country[Genre],map_country[min])),FALSE),INDIRECT((_xlfn.XLOOKUP(H12,map_country[Genre],map_country[rand]))),1)),"")</f>
        <v/>
      </c>
      <c r="AK12" s="25" t="str">
        <f t="array" ref="AK12">IF(SUM(COUNTIF(H12,{"*Deep*";"*Bass*";"*Slap*"})),"Cool,Upbeat,Dark",IF(SUM(COUNTIF(H12,{"*Lo-Fi*"})),"Sexy,Relaxing,Romantic",IF(SUM(COUNTIF(H12,{"*Tech*"})),"Cool,Upbeat,Dark",IF(SUM(COUNTIF(H12,{"*Indie/Chill Dance*"})),"Cool,Upbeat,Light",IF(SUM(COUNTIF(H12,{"*Piano*"})),"Cool,Upbeat,Light",IF(SUM(COUNTIF(H12,{"*EDM*"})),"Cool,Upbeat,Happy Mood",IF(H12="","","")))))))</f>
        <v/>
      </c>
      <c r="AL12" s="25" t="str">
        <f t="array" ref="AL12">IF(SUM(COUNTIF(H12,{"*Deep*";"*Bass*";"*Slap*"})),"Hard &amp; Heavy,Chilling Out &amp; Lounging,Happy &amp; Upbeat",IF(SUM(COUNTIF(H12,{"*Lo-Fi*"})),"Work, Study &amp; Reading,Chilling Out &amp; Lounging,Relaxed &amp; Laid Back",IF(SUM(COUNTIF(H12,{"*Tech*"})),"Hard &amp; Heavy,Chilling Out &amp; Lounging,Happy &amp; Upbeat",IF(SUM(COUNTIF(H12,{"*Indie/Chill Dance*"})),"Hard &amp; Heavy,Chilling Out &amp; Lounging,Happy &amp; Upbeat",IF(SUM(COUNTIF(H12,{"*Piano*"})),"Hard &amp; Heavy,Chilling Out &amp; Lounging,Happy &amp; Upbeat",IF(SUM(COUNTIF(H12,{"*EDM*"})),"Hard &amp; Heavy,Chilling Out &amp; Lounging,Happy &amp; Upbeat",IF(H12="","","")))))))</f>
        <v/>
      </c>
      <c r="AN12" s="20" t="str">
        <f>TRIM(SUBSTITUTE(SUBSTITUTE(SUBSTITUTE(A17,"&amp;",","),"feat",","),".",""))</f>
        <v/>
      </c>
      <c r="AO12" s="20" t="str">
        <f ca="1">IFERROR(_xlfn.TEXTBEFORE(AN12,","),AN12)</f>
        <v/>
      </c>
      <c r="AP12" s="20" t="str">
        <f ca="1">IFERROR(TRIM(SUBSTITUTE(SUBSTITUTE(SUBSTITUTE(SUBSTITUTE(_xlfn.TEXTAFTER(AN12,",",1),AQ12,""),AR12,""),AS12,""),",","")),"")</f>
        <v/>
      </c>
      <c r="AQ12" s="20" t="str">
        <f ca="1">IFERROR(SUBSTITUTE(SUBSTITUTE(SUBSTITUTE(_xlfn.TEXTAFTER(AN12,",",2),AR12,""),",",""),AS12,""),"")</f>
        <v/>
      </c>
      <c r="AR12" s="20" t="str">
        <f ca="1">IFERROR(SUBSTITUTE(SUBSTITUTE(_xlfn.TEXTAFTER(AN12,",",3),AS12,""),",",""),"")</f>
        <v/>
      </c>
      <c r="AS12" s="20" t="str">
        <f ca="1">IFERROR(_xlfn.TEXTAFTER(AN12,",",4),"")</f>
        <v/>
      </c>
      <c r="AV12" s="11">
        <v>1</v>
      </c>
      <c r="AW12" s="9" t="s">
        <v>52</v>
      </c>
      <c r="AX12" s="12" t="s">
        <v>41</v>
      </c>
      <c r="AY12" t="e">
        <f ca="1">+_xlfn.TEXTBEFORE(text_list[[#This Row],[Text]],"''''!",,0)</f>
        <v>#NAME?</v>
      </c>
      <c r="AZ12" t="e">
        <f ca="1">+_xlfn.TEXTBEFORE(_xlfn.TEXTAFTER(text_list[[#This Row],[Text]],"'''!"),"Label")</f>
        <v>#NAME?</v>
      </c>
      <c r="BA12" t="e">
        <f ca="1">+_xlfn.TEXTAFTER(text_list[[#This Row],[Text]],text_list[[#This Row],[Type based on genre]])</f>
        <v>#NAME?</v>
      </c>
      <c r="BB12" t="s">
        <v>42</v>
      </c>
      <c r="BH12" t="s">
        <v>54</v>
      </c>
      <c r="BI12" t="s">
        <v>132</v>
      </c>
      <c r="BJ12" t="s">
        <v>133</v>
      </c>
      <c r="BK12" t="str">
        <f>+map_location[[#This Row],[rand]]</f>
        <v>indie[rand]</v>
      </c>
      <c r="BL12" t="str">
        <f>"R"&amp;ROW(BT3)&amp;"C"&amp;COLUMN(BT3)</f>
        <v>R3C72</v>
      </c>
      <c r="BM12" t="str">
        <f>"R"&amp;ROW(BT4)&amp;"C"&amp;COLUMN(BT4)</f>
        <v>R4C72</v>
      </c>
      <c r="BN12" t="str">
        <f>"R"&amp;ROW(BT5)&amp;"C"&amp;COLUMN(BT5)</f>
        <v>R5C72</v>
      </c>
    </row>
    <row r="13" spans="1:323" x14ac:dyDescent="0.25">
      <c r="A13" t="s">
        <v>193</v>
      </c>
      <c r="B13" t="s">
        <v>134</v>
      </c>
      <c r="C13" t="s">
        <v>91</v>
      </c>
      <c r="D13" t="s">
        <v>135</v>
      </c>
      <c r="E13" t="s">
        <v>136</v>
      </c>
      <c r="F13" s="3">
        <v>5063212066368</v>
      </c>
      <c r="G13" t="s">
        <v>137</v>
      </c>
      <c r="H13" s="7" t="s">
        <v>138</v>
      </c>
      <c r="I13" t="s">
        <v>37</v>
      </c>
      <c r="J13" t="s">
        <v>139</v>
      </c>
      <c r="K13" t="s">
        <v>140</v>
      </c>
      <c r="L13" t="s">
        <v>104</v>
      </c>
      <c r="M13">
        <v>2</v>
      </c>
      <c r="N13" t="s">
        <v>68</v>
      </c>
      <c r="O13" s="25" t="str">
        <f t="shared" si="0"/>
        <v>Single</v>
      </c>
      <c r="P13" s="25" t="str">
        <f t="shared" si="1"/>
        <v>Priority</v>
      </c>
      <c r="Q13" s="25" t="str">
        <f t="shared" si="2"/>
        <v>Single</v>
      </c>
      <c r="R13" s="25" t="str">
        <f t="array" ref="R13">IF(SUM(COUNTIF(H13,{"*Deep*";"*Bass*";"*Slap*"})),"Citas:Deep House",IF(SUM(COUNTIF(H13,{"*Lo-Fi*"})),"Citas:Lo-Fi",IF(SUM(COUNTIF(H13,{"*Tech*"})),"Citas:Tech House",IF(SUM(COUNTIF(H13,{"*Indie/Chill Dance*"})),"Citas:Indie/Chill Dance",IF(SUM(COUNTIF(H13,{"*Piano*"})),"Citas:Piano House",IF(SUM(COUNTIF(H13,{"*EDM*"})),"edm dance",IF(H13="","","")))))))</f>
        <v>Citas:Lo-Fi</v>
      </c>
      <c r="S13" s="25" t="str">
        <f t="array" ref="S13">IF(SUM(COUNTIF(H13,{"*Deep*";"*Bass*";"*Slap*"})),"energetic",IF(SUM(COUNTIF(H13,{"*Lo-Fi*"})),"calm",IF(SUM(COUNTIF(H13,{"*Tech*"})),"energetic",IF(SUM(COUNTIF(H13,{"*Indie/Chill Dance*"})),"chillout",IF(SUM(COUNTIF(H13,{"*Piano*"})),"energetic",IF(SUM(COUNTIF(H13,{"*EDM*"})),"energetic",IF(H13="","","")))))))</f>
        <v>calm</v>
      </c>
      <c r="T13" s="25" t="str">
        <f t="array" ref="T13">IF(SUM(COUNTIF(H13,{"*Tech*";"*EDM*";"*Indie*";"*Deep*";"*Piano*";"*Slap*";"*Brazilian Bass*"})),"Song would perfectly fit in any dance mood playlist! Label will invest up to 5000 EUR advertising on facebook and instagram ads aswell as promoting it over label and label partners playlists, radio stations and press.",IF(SUM(COUNTIF(H13,{"*Lo-Fi*"})),"Song would perfectly fit in any Lo-Fi mood playlist! Label will invest up to 5000 EUR advertising on facebook and instagram ads aswell as promoting it over label and label partners playlists, radio stations and press.",IF(H13="","","")))</f>
        <v>Song would perfectly fit in any Lo-Fi mood playlist! Label will invest up to 5000 EUR advertising on facebook and instagram ads aswell as promoting it over label and label partners playlists, radio stations and press.</v>
      </c>
      <c r="U13" s="25" t="str">
        <f t="shared" si="3"/>
        <v>SGL</v>
      </c>
      <c r="V13" s="25" t="str">
        <f t="shared" si="4"/>
        <v>Instrumental only</v>
      </c>
      <c r="X13" s="25" t="str">
        <f t="array" aca="1" ref="X13" ca="1">+IF(H13="LO-FI","",IFERROR(INDEX(INDIRECT((_xlfn.XLOOKUP(H13,map_location[Genre],map_location[location]))),RANK(INDIRECT((_xlfn.XLOOKUP(H13,map_location[Genre],map_location[min])),FALSE),INDIRECT((_xlfn.XLOOKUP(H13,map_location[Genre],map_location[rand]))),1)),""))</f>
        <v/>
      </c>
      <c r="Y13" s="25" t="str">
        <f t="array" ref="Y13">IF(SUM(COUNTIF(H13,{"*Deep*";"*Bass*";"*Slap*"})),"**Deep House**House**Dance**",IF(SUM(COUNTIF(H13,{"*Lo-Fi*"})),"**Lo-Fi Pop**Lo-Fi Beats**Lo-Fi**",IF(SUM(COUNTIF(H13,{"*Tech*"})),"**Deep House**Tech House**Dance**",IF(SUM(COUNTIF(H13,{"*Indie/Chill Dance*"})),"**Indie Dance**Indie Electronic**Dance Pop**",IF(SUM(COUNTIF(H13,{"*Piano*"})),"**House**Electro house**Melodic House**",IF(SUM(COUNTIF(H13,{"*EDM*"})),"**EDM**Electro house**Dance Pop**",IF(H13="","","")))))))</f>
        <v>**Lo-Fi Pop**Lo-Fi Beats**Lo-Fi**</v>
      </c>
      <c r="Z13" s="25" t="str">
        <f t="array" ref="Z13">IF(SUM(COUNTIF(H13,{"*Deep*";"*Bass*";"*Slap*"})),"Energetic,Happy",IF(SUM(COUNTIF(H13,{"*Lo-Fi*"})),"Romantic,Chill",IF(SUM(COUNTIF(H13,{"*Tech*"})),"Energetic,Happy",IF(SUM(COUNTIF(H13,{"*Indie/Chill Dance*"})),"Energetic,Chill",IF(SUM(COUNTIF(H13,{"*Piano*"})),"Energetic,Happy",IF(SUM(COUNTIF(H13,{"*EDM*"})),"Energetic,Happy",IF(H13="","","")))))))</f>
        <v>Romantic,Chill</v>
      </c>
      <c r="AA13" s="25" t="str">
        <f t="array" ref="AA13">IF(SUM(COUNTIF(H13,{"*Deep*";"*Bass*";"*Slap*"})),"None of these",IF(SUM(COUNTIF(H13,{"*Lo-Fi*"})),"Holiday,Beats",IF(SUM(COUNTIF(H13,{"*Tech*"})),"None of these",IF(SUM(COUNTIF(H13,{"*Indie/Chill Dance*"})),"None of these",IF(SUM(COUNTIF(H13,{"*Piano*"})),"None of these",IF(SUM(COUNTIF(H13,{"*EDM*"})),"None of these",IF(H13="","","")))))))</f>
        <v>Holiday,Beats</v>
      </c>
      <c r="AB13" s="25" t="str">
        <f t="array" ref="AB13">IF(SUM(COUNTIF(H13,{"*Deep*";"*Bass*";"*Slap*"})),"Samples,Synthesizer,Bass Guitar,Piano,Drum Kit,Electric Guitar",IF(SUM(COUNTIF(H13,{"*Lo-Fi*"})),"Samples,Synthesizer,Bass Guitar,Piano,Drum Kit,Electric Guitar",IF(SUM(COUNTIF(H13,{"*Tech*"})),"Samples,Synthesizer,Bass Guitar,Piano,Drum Kit,Electric Guitar",IF(SUM(COUNTIF(H13,{"*Indie/Chill Dance*"})),"Samples,Synthesizer,Bass Guitar,Piano,Drum Kit,Electric Guitar",IF(SUM(COUNTIF(H13,{"*Piano*"})),"Samples,Synthesizer,Bass Guitar,Piano,Drum Kit,Electric Guitar",IF(SUM(COUNTIF(H13,{"*EDM*"})),"Samples,Synthesizer,Bass Guitar,Piano,Drum Kit,Electric Guitar",IF(H13="","","")))))))</f>
        <v>Samples,Synthesizer,Bass Guitar,Piano,Drum Kit,Electric Guitar</v>
      </c>
      <c r="AC13" s="25" t="str">
        <f t="array" ref="AC13">IF(N13="Cover","Yes",IF(SUM(COUNTIF(N13,{"*Radio/Extended*";"*Radio*";"*Remix*"})),"No",""))</f>
        <v>No</v>
      </c>
      <c r="AD13" s="25" t="str">
        <f t="array" ref="AD13">IF(N13="Remix","Yes",IF(SUM(COUNTIF(N13,{"*Radio/Extended*";"*Radio*";"*Cover*"})),"No",""))</f>
        <v>No</v>
      </c>
      <c r="AE13" s="25" t="str">
        <f t="shared" si="5"/>
        <v>**English**</v>
      </c>
      <c r="AF13" s="25" t="str">
        <f t="array" aca="1" ref="AF13" ca="1">+TRIM(SUBSTITUTE(SUBSTITUTE(SUBSTITUTE(SUBSTITUTE(IFERROR(AO13&amp;" "&amp;+_xlfn.XLOOKUP(((SUM(LEN(AN13))-SUM(LEN(SUBSTITUTE(AN13,",",""))))/LEN(",")+1)&amp;H13,AV:AV&amp;AW:AW,AY:AY)&amp;CHAR(34)&amp;B13&amp;CHAR(34)&amp;"!"&amp;_xlfn.XLOOKUP(H13,text_list[Genre],text_list[Type based on genre]&amp;text_list[Label]),""),"Second",AP13),"Third",AQ13),"Forth",AR13),"Fifth",AS13&amp;" "))</f>
        <v/>
      </c>
      <c r="AI13" s="25" t="str">
        <f t="array" ref="AI13">IF(SUM(COUNTIF(H13,{"*Deep*";"*Bass*";"*Slap*"})),"**Tiësto**Imanbek**",IF(SUM(COUNTIF(H13,{"*Lo-Fi*"})),"**L.Dre**Yasumu**",IF(SUM(COUNTIF(H13,{"*Tech*"})),"**Mau P**Gorgon City**",IF(SUM(COUNTIF(H13,{"*Indie/Chill Dance*"})),"**Felix Jaehn**Lost Frequencies**",IF(SUM(COUNTIF(H13,{"*Piano*"})),"**Avicii**Eric Prydz**",IF(SUM(COUNTIF(H13,{"*EDM*"})),"**David Guetta**Swedish House Mafia**",IF(H13="","","")))))))</f>
        <v>**L.Dre**Yasumu**</v>
      </c>
      <c r="AJ13" s="25" t="str">
        <f t="array" aca="1" ref="AJ13" ca="1">+IFERROR(INDEX(INDIRECT((_xlfn.XLOOKUP(H13,map_country[Genre],map_country[country]))),RANK(INDIRECT((_xlfn.XLOOKUP(H13,map_country[Genre],map_country[min])),FALSE),INDIRECT((_xlfn.XLOOKUP(H13,map_country[Genre],map_country[rand]))),1)),"")</f>
        <v/>
      </c>
      <c r="AK13" s="25" t="str">
        <f t="array" ref="AK13">IF(SUM(COUNTIF(H13,{"*Deep*";"*Bass*";"*Slap*"})),"Cool,Upbeat,Dark",IF(SUM(COUNTIF(H13,{"*Lo-Fi*"})),"Sexy,Relaxing,Romantic",IF(SUM(COUNTIF(H13,{"*Tech*"})),"Cool,Upbeat,Dark",IF(SUM(COUNTIF(H13,{"*Indie/Chill Dance*"})),"Cool,Upbeat,Light",IF(SUM(COUNTIF(H13,{"*Piano*"})),"Cool,Upbeat,Light",IF(SUM(COUNTIF(H13,{"*EDM*"})),"Cool,Upbeat,Happy Mood",IF(H13="","","")))))))</f>
        <v>Sexy,Relaxing,Romantic</v>
      </c>
      <c r="AL13" s="25" t="str">
        <f t="array" ref="AL13">IF(SUM(COUNTIF(H13,{"*Deep*";"*Bass*";"*Slap*"})),"Hard &amp; Heavy,Chilling Out &amp; Lounging,Happy &amp; Upbeat",IF(SUM(COUNTIF(H13,{"*Lo-Fi*"})),"Work, Study &amp; Reading,Chilling Out &amp; Lounging,Relaxed &amp; Laid Back",IF(SUM(COUNTIF(H13,{"*Tech*"})),"Hard &amp; Heavy,Chilling Out &amp; Lounging,Happy &amp; Upbeat",IF(SUM(COUNTIF(H13,{"*Indie/Chill Dance*"})),"Hard &amp; Heavy,Chilling Out &amp; Lounging,Happy &amp; Upbeat",IF(SUM(COUNTIF(H13,{"*Piano*"})),"Hard &amp; Heavy,Chilling Out &amp; Lounging,Happy &amp; Upbeat",IF(SUM(COUNTIF(H13,{"*EDM*"})),"Hard &amp; Heavy,Chilling Out &amp; Lounging,Happy &amp; Upbeat",IF(H13="","","")))))))</f>
        <v>Work, Study &amp; Reading,Chilling Out &amp; Lounging,Relaxed &amp; Laid Back</v>
      </c>
      <c r="AN13" s="20" t="str">
        <f>TRIM(SUBSTITUTE(SUBSTITUTE(SUBSTITUTE(A18,"&amp;",","),"feat",","),".",""))</f>
        <v/>
      </c>
      <c r="AO13" s="20" t="str">
        <f ca="1">IFERROR(_xlfn.TEXTBEFORE(AN13,","),AN13)</f>
        <v/>
      </c>
      <c r="AP13" s="20" t="str">
        <f ca="1">IFERROR(TRIM(SUBSTITUTE(SUBSTITUTE(SUBSTITUTE(SUBSTITUTE(_xlfn.TEXTAFTER(AN13,",",1),AQ13,""),AR13,""),AS13,""),",","")),"")</f>
        <v/>
      </c>
      <c r="AQ13" s="20" t="str">
        <f ca="1">IFERROR(SUBSTITUTE(SUBSTITUTE(SUBSTITUTE(_xlfn.TEXTAFTER(AN13,",",2),AR13,""),",",""),AS13,""),"")</f>
        <v/>
      </c>
      <c r="AR13" s="20" t="str">
        <f ca="1">IFERROR(SUBSTITUTE(SUBSTITUTE(_xlfn.TEXTAFTER(AN13,",",3),AS13,""),",",""),"")</f>
        <v/>
      </c>
      <c r="AS13" s="20" t="str">
        <f ca="1">IFERROR(_xlfn.TEXTAFTER(AN13,",",4),"")</f>
        <v/>
      </c>
      <c r="AV13" s="11">
        <v>2</v>
      </c>
      <c r="AW13" s="9" t="s">
        <v>52</v>
      </c>
      <c r="AX13" s="12" t="s">
        <v>47</v>
      </c>
      <c r="AY13" t="e">
        <f ca="1">+_xlfn.TEXTBEFORE(text_list[[#This Row],[Text]],"''''!",,0)</f>
        <v>#NAME?</v>
      </c>
      <c r="AZ13" t="e">
        <f ca="1">+_xlfn.TEXTBEFORE(_xlfn.TEXTAFTER(text_list[[#This Row],[Text]],"'''!"),"Label")</f>
        <v>#NAME?</v>
      </c>
      <c r="BA13" t="e">
        <f ca="1">+_xlfn.TEXTAFTER(text_list[[#This Row],[Text]],text_list[[#This Row],[Type based on genre]])</f>
        <v>#NAME?</v>
      </c>
      <c r="BB13" t="s">
        <v>42</v>
      </c>
      <c r="BH13" t="s">
        <v>56</v>
      </c>
      <c r="BI13" t="s">
        <v>141</v>
      </c>
      <c r="BJ13" t="s">
        <v>142</v>
      </c>
      <c r="BK13" t="str">
        <f>+map_location[[#This Row],[rand]]</f>
        <v>slap[rand]</v>
      </c>
      <c r="BL13" t="str">
        <f>"R"&amp;ROW(BX3)&amp;"C"&amp;COLUMN(BX3)</f>
        <v>R3C76</v>
      </c>
      <c r="BM13" t="str">
        <f>"R"&amp;ROW(BX4)&amp;"C"&amp;COLUMN(BX4)</f>
        <v>R4C76</v>
      </c>
      <c r="BN13" t="str">
        <f>"R"&amp;ROW(BX5)&amp;"C"&amp;COLUMN(BX5)</f>
        <v>R5C76</v>
      </c>
    </row>
    <row r="14" spans="1:323" x14ac:dyDescent="0.25">
      <c r="A14" s="25" t="s">
        <v>194</v>
      </c>
      <c r="B14" s="25" t="s">
        <v>134</v>
      </c>
      <c r="C14" s="25" t="s">
        <v>91</v>
      </c>
      <c r="D14" s="25" t="s">
        <v>135</v>
      </c>
      <c r="E14" s="25" t="s">
        <v>136</v>
      </c>
      <c r="F14" s="3">
        <v>5063212066368</v>
      </c>
      <c r="G14" s="25" t="s">
        <v>137</v>
      </c>
      <c r="H14" s="7" t="s">
        <v>138</v>
      </c>
      <c r="I14" s="25" t="s">
        <v>37</v>
      </c>
      <c r="J14" s="25" t="s">
        <v>139</v>
      </c>
      <c r="K14" s="25" t="s">
        <v>140</v>
      </c>
      <c r="L14" s="25" t="s">
        <v>104</v>
      </c>
      <c r="M14" s="25">
        <v>2</v>
      </c>
      <c r="N14" s="25" t="s">
        <v>68</v>
      </c>
      <c r="O14" s="25" t="str">
        <f t="shared" si="0"/>
        <v>Single</v>
      </c>
      <c r="P14" s="25" t="str">
        <f t="shared" si="1"/>
        <v>Priority</v>
      </c>
      <c r="Q14" s="25" t="str">
        <f t="shared" si="2"/>
        <v>Single</v>
      </c>
      <c r="R14" s="25" t="str">
        <f t="array" ref="R14">IF(SUM(COUNTIF(H14,{"*Deep*";"*Bass*";"*Slap*"})),"Citas:Deep House",IF(SUM(COUNTIF(H14,{"*Lo-Fi*"})),"Citas:Lo-Fi",IF(SUM(COUNTIF(H14,{"*Tech*"})),"Citas:Tech House",IF(SUM(COUNTIF(H14,{"*Indie/Chill Dance*"})),"Citas:Indie/Chill Dance",IF(SUM(COUNTIF(H14,{"*Piano*"})),"Citas:Piano House",IF(SUM(COUNTIF(H14,{"*EDM*"})),"edm dance",IF(H14="","","")))))))</f>
        <v>Citas:Lo-Fi</v>
      </c>
      <c r="S14" s="25" t="str">
        <f t="array" ref="S14">IF(SUM(COUNTIF(H14,{"*Deep*";"*Bass*";"*Slap*"})),"energetic",IF(SUM(COUNTIF(H14,{"*Lo-Fi*"})),"calm",IF(SUM(COUNTIF(H14,{"*Tech*"})),"energetic",IF(SUM(COUNTIF(H14,{"*Indie/Chill Dance*"})),"chillout",IF(SUM(COUNTIF(H14,{"*Piano*"})),"energetic",IF(SUM(COUNTIF(H14,{"*EDM*"})),"energetic",IF(H14="","","")))))))</f>
        <v>calm</v>
      </c>
      <c r="T14" s="25" t="str">
        <f t="array" ref="T14">IF(SUM(COUNTIF(H14,{"*Tech*";"*EDM*";"*Indie*";"*Deep*";"*Piano*";"*Slap*";"*Brazilian Bass*"})),"Song would perfectly fit in any dance mood playlist! Label will invest up to 5000 EUR advertising on facebook and instagram ads aswell as promoting it over label and label partners playlists, radio stations and press.",IF(SUM(COUNTIF(H14,{"*Lo-Fi*"})),"Song would perfectly fit in any Lo-Fi mood playlist! Label will invest up to 5000 EUR advertising on facebook and instagram ads aswell as promoting it over label and label partners playlists, radio stations and press.",IF(H14="","","")))</f>
        <v>Song would perfectly fit in any Lo-Fi mood playlist! Label will invest up to 5000 EUR advertising on facebook and instagram ads aswell as promoting it over label and label partners playlists, radio stations and press.</v>
      </c>
      <c r="U14" s="25" t="str">
        <f t="shared" si="3"/>
        <v>SGL</v>
      </c>
      <c r="V14" s="25" t="str">
        <f t="shared" si="4"/>
        <v>Instrumental only</v>
      </c>
      <c r="X14" s="25" t="str">
        <f t="array" aca="1" ref="X14" ca="1">+IF(H14="LO-FI","",IFERROR(INDEX(INDIRECT((_xlfn.XLOOKUP(H14,map_location[Genre],map_location[location]))),RANK(INDIRECT((_xlfn.XLOOKUP(H14,map_location[Genre],map_location[min])),FALSE),INDIRECT((_xlfn.XLOOKUP(H14,map_location[Genre],map_location[rand]))),1)),""))</f>
        <v/>
      </c>
      <c r="Y14" s="25" t="str">
        <f t="array" ref="Y14">IF(SUM(COUNTIF(H14,{"*Deep*";"*Bass*";"*Slap*"})),"**Deep House**House**Dance**",IF(SUM(COUNTIF(H14,{"*Lo-Fi*"})),"**Lo-Fi Pop**Lo-Fi Beats**Lo-Fi**",IF(SUM(COUNTIF(H14,{"*Tech*"})),"**Deep House**Tech House**Dance**",IF(SUM(COUNTIF(H14,{"*Indie/Chill Dance*"})),"**Indie Dance**Indie Electronic**Dance Pop**",IF(SUM(COUNTIF(H14,{"*Piano*"})),"**House**Electro house**Melodic House**",IF(SUM(COUNTIF(H14,{"*EDM*"})),"**EDM**Electro house**Dance Pop**",IF(H14="","","")))))))</f>
        <v>**Lo-Fi Pop**Lo-Fi Beats**Lo-Fi**</v>
      </c>
      <c r="Z14" s="25" t="str">
        <f t="array" ref="Z14">IF(SUM(COUNTIF(H14,{"*Deep*";"*Bass*";"*Slap*"})),"Energetic,Happy",IF(SUM(COUNTIF(H14,{"*Lo-Fi*"})),"Romantic,Chill",IF(SUM(COUNTIF(H14,{"*Tech*"})),"Energetic,Happy",IF(SUM(COUNTIF(H14,{"*Indie/Chill Dance*"})),"Energetic,Chill",IF(SUM(COUNTIF(H14,{"*Piano*"})),"Energetic,Happy",IF(SUM(COUNTIF(H14,{"*EDM*"})),"Energetic,Happy",IF(H14="","","")))))))</f>
        <v>Romantic,Chill</v>
      </c>
      <c r="AA14" s="25" t="str">
        <f t="array" ref="AA14">IF(SUM(COUNTIF(H14,{"*Deep*";"*Bass*";"*Slap*"})),"None of these",IF(SUM(COUNTIF(H14,{"*Lo-Fi*"})),"Holiday,Beats",IF(SUM(COUNTIF(H14,{"*Tech*"})),"None of these",IF(SUM(COUNTIF(H14,{"*Indie/Chill Dance*"})),"None of these",IF(SUM(COUNTIF(H14,{"*Piano*"})),"None of these",IF(SUM(COUNTIF(H14,{"*EDM*"})),"None of these",IF(H14="","","")))))))</f>
        <v>Holiday,Beats</v>
      </c>
      <c r="AB14" s="25" t="str">
        <f t="array" ref="AB14">IF(SUM(COUNTIF(H14,{"*Deep*";"*Bass*";"*Slap*"})),"Samples,Synthesizer,Bass Guitar,Piano,Drum Kit,Electric Guitar",IF(SUM(COUNTIF(H14,{"*Lo-Fi*"})),"Samples,Synthesizer,Bass Guitar,Piano,Drum Kit,Electric Guitar",IF(SUM(COUNTIF(H14,{"*Tech*"})),"Samples,Synthesizer,Bass Guitar,Piano,Drum Kit,Electric Guitar",IF(SUM(COUNTIF(H14,{"*Indie/Chill Dance*"})),"Samples,Synthesizer,Bass Guitar,Piano,Drum Kit,Electric Guitar",IF(SUM(COUNTIF(H14,{"*Piano*"})),"Samples,Synthesizer,Bass Guitar,Piano,Drum Kit,Electric Guitar",IF(SUM(COUNTIF(H14,{"*EDM*"})),"Samples,Synthesizer,Bass Guitar,Piano,Drum Kit,Electric Guitar",IF(H14="","","")))))))</f>
        <v>Samples,Synthesizer,Bass Guitar,Piano,Drum Kit,Electric Guitar</v>
      </c>
      <c r="AC14" s="25" t="str">
        <f t="array" ref="AC14">IF(N14="Cover","Yes",IF(SUM(COUNTIF(N14,{"*Radio/Extended*";"*Radio*";"*Remix*"})),"No",""))</f>
        <v>No</v>
      </c>
      <c r="AD14" s="25" t="str">
        <f t="array" ref="AD14">IF(N14="Remix","Yes",IF(SUM(COUNTIF(N14,{"*Radio/Extended*";"*Radio*";"*Cover*"})),"No",""))</f>
        <v>No</v>
      </c>
      <c r="AE14" s="25" t="str">
        <f t="shared" si="5"/>
        <v>**English**</v>
      </c>
      <c r="AF14" s="25" t="str">
        <f t="array" aca="1" ref="AF14" ca="1">+TRIM(SUBSTITUTE(SUBSTITUTE(SUBSTITUTE(SUBSTITUTE(IFERROR(AO14&amp;" "&amp;+_xlfn.XLOOKUP(((SUM(LEN(AN14))-SUM(LEN(SUBSTITUTE(AN14,",",""))))/LEN(",")+1)&amp;H14,AV:AV&amp;AW:AW,AY:AY)&amp;CHAR(34)&amp;B14&amp;CHAR(34)&amp;"!"&amp;_xlfn.XLOOKUP(H14,text_list[Genre],text_list[Type based on genre]&amp;text_list[Label]),""),"Second",AP14),"Third",AQ14),"Forth",AR14),"Fifth",AS14&amp;" "))</f>
        <v/>
      </c>
      <c r="AI14" s="25" t="str">
        <f t="array" ref="AI14">IF(SUM(COUNTIF(H14,{"*Deep*";"*Bass*";"*Slap*"})),"**Tiësto**Imanbek**",IF(SUM(COUNTIF(H14,{"*Lo-Fi*"})),"**L.Dre**Yasumu**",IF(SUM(COUNTIF(H14,{"*Tech*"})),"**Mau P**Gorgon City**",IF(SUM(COUNTIF(H14,{"*Indie/Chill Dance*"})),"**Felix Jaehn**Lost Frequencies**",IF(SUM(COUNTIF(H14,{"*Piano*"})),"**Avicii**Eric Prydz**",IF(SUM(COUNTIF(H14,{"*EDM*"})),"**David Guetta**Swedish House Mafia**",IF(H14="","","")))))))</f>
        <v>**L.Dre**Yasumu**</v>
      </c>
      <c r="AJ14" s="25" t="str">
        <f t="array" aca="1" ref="AJ14" ca="1">+IFERROR(INDEX(INDIRECT((_xlfn.XLOOKUP(H14,map_country[Genre],map_country[country]))),RANK(INDIRECT((_xlfn.XLOOKUP(H14,map_country[Genre],map_country[min])),FALSE),INDIRECT((_xlfn.XLOOKUP(H14,map_country[Genre],map_country[rand]))),1)),"")</f>
        <v/>
      </c>
      <c r="AN14" s="20" t="str">
        <f>TRIM(SUBSTITUTE(SUBSTITUTE(SUBSTITUTE(A19,"&amp;",","),"feat",","),".",""))</f>
        <v/>
      </c>
      <c r="AO14" s="20" t="str">
        <f ca="1">IFERROR(_xlfn.TEXTBEFORE(AN14,","),AN14)</f>
        <v/>
      </c>
      <c r="AP14" s="20" t="str">
        <f ca="1">IFERROR(TRIM(SUBSTITUTE(SUBSTITUTE(SUBSTITUTE(SUBSTITUTE(_xlfn.TEXTAFTER(AN14,",",1),AQ14,""),AR14,""),AS14,""),",","")),"")</f>
        <v/>
      </c>
      <c r="AQ14" s="20" t="str">
        <f ca="1">IFERROR(SUBSTITUTE(SUBSTITUTE(SUBSTITUTE(_xlfn.TEXTAFTER(AN14,",",2),AR14,""),",",""),AS14,""),"")</f>
        <v/>
      </c>
      <c r="AR14" s="20" t="str">
        <f ca="1">IFERROR(SUBSTITUTE(SUBSTITUTE(_xlfn.TEXTAFTER(AN14,",",3),AS14,""),",",""),"")</f>
        <v/>
      </c>
      <c r="AS14" s="20" t="str">
        <f ca="1">IFERROR(_xlfn.TEXTAFTER(AN14,",",4),"")</f>
        <v/>
      </c>
      <c r="AV14" s="11">
        <v>3</v>
      </c>
      <c r="AW14" s="9" t="s">
        <v>52</v>
      </c>
      <c r="AX14" s="12" t="s">
        <v>69</v>
      </c>
      <c r="AY14" t="e">
        <f ca="1">+_xlfn.TEXTBEFORE(text_list[[#This Row],[Text]],"''''!",,0)</f>
        <v>#NAME?</v>
      </c>
      <c r="AZ14" t="e">
        <f ca="1">+_xlfn.TEXTBEFORE(_xlfn.TEXTAFTER(text_list[[#This Row],[Text]],"'''!"),"Label")</f>
        <v>#NAME?</v>
      </c>
      <c r="BA14" t="e">
        <f ca="1">+_xlfn.TEXTAFTER(text_list[[#This Row],[Text]],text_list[[#This Row],[Type based on genre]])</f>
        <v>#NAME?</v>
      </c>
      <c r="BB14" t="s">
        <v>42</v>
      </c>
      <c r="BH14" t="s">
        <v>58</v>
      </c>
      <c r="BI14" t="s">
        <v>143</v>
      </c>
      <c r="BJ14" t="s">
        <v>144</v>
      </c>
      <c r="BK14" t="str">
        <f>+map_location[[#This Row],[rand]]</f>
        <v>brazilian[rand]</v>
      </c>
      <c r="BL14" t="str">
        <f>"R"&amp;ROW(CB3)&amp;"C"&amp;COLUMN(CB3)</f>
        <v>R3C80</v>
      </c>
      <c r="BM14" t="str">
        <f>"R"&amp;ROW(CB4)&amp;"C"&amp;COLUMN(CB4)</f>
        <v>R4C80</v>
      </c>
      <c r="BN14" t="str">
        <f>"R"&amp;ROW(CB5)&amp;"C"&amp;COLUMN(CB5)</f>
        <v>R5C80</v>
      </c>
    </row>
    <row r="15" spans="1:323" x14ac:dyDescent="0.25">
      <c r="A15" s="25" t="s">
        <v>195</v>
      </c>
      <c r="B15" s="25" t="s">
        <v>134</v>
      </c>
      <c r="C15" s="25" t="s">
        <v>91</v>
      </c>
      <c r="D15" s="25" t="s">
        <v>135</v>
      </c>
      <c r="E15" s="25" t="s">
        <v>136</v>
      </c>
      <c r="F15" s="3">
        <v>5063212066368</v>
      </c>
      <c r="G15" s="25" t="s">
        <v>137</v>
      </c>
      <c r="H15" s="7" t="s">
        <v>138</v>
      </c>
      <c r="I15" s="25" t="s">
        <v>37</v>
      </c>
      <c r="J15" s="25" t="s">
        <v>139</v>
      </c>
      <c r="K15" s="25" t="s">
        <v>140</v>
      </c>
      <c r="L15" s="25" t="s">
        <v>104</v>
      </c>
      <c r="M15" s="25">
        <v>2</v>
      </c>
      <c r="N15" s="25" t="s">
        <v>68</v>
      </c>
      <c r="O15" s="25" t="str">
        <f t="shared" si="0"/>
        <v>Single</v>
      </c>
      <c r="P15" s="25" t="str">
        <f t="shared" si="1"/>
        <v>Priority</v>
      </c>
      <c r="Q15" s="25" t="str">
        <f t="shared" si="2"/>
        <v>Single</v>
      </c>
      <c r="R15" s="25" t="str">
        <f t="array" ref="R15">IF(SUM(COUNTIF(H15,{"*Deep*";"*Bass*";"*Slap*"})),"Citas:Deep House",IF(SUM(COUNTIF(H15,{"*Lo-Fi*"})),"Citas:Lo-Fi",IF(SUM(COUNTIF(H15,{"*Tech*"})),"Citas:Tech House",IF(SUM(COUNTIF(H15,{"*Indie/Chill Dance*"})),"Citas:Indie/Chill Dance",IF(SUM(COUNTIF(H15,{"*Piano*"})),"Citas:Piano House",IF(SUM(COUNTIF(H15,{"*EDM*"})),"edm dance",IF(H15="","","")))))))</f>
        <v>Citas:Lo-Fi</v>
      </c>
      <c r="S15" s="25" t="str">
        <f t="array" ref="S15">IF(SUM(COUNTIF(H15,{"*Deep*";"*Bass*";"*Slap*"})),"energetic",IF(SUM(COUNTIF(H15,{"*Lo-Fi*"})),"calm",IF(SUM(COUNTIF(H15,{"*Tech*"})),"energetic",IF(SUM(COUNTIF(H15,{"*Indie/Chill Dance*"})),"chillout",IF(SUM(COUNTIF(H15,{"*Piano*"})),"energetic",IF(SUM(COUNTIF(H15,{"*EDM*"})),"energetic",IF(H15="","","")))))))</f>
        <v>calm</v>
      </c>
      <c r="T15" s="25" t="str">
        <f t="array" ref="T15">IF(SUM(COUNTIF(H15,{"*Tech*";"*EDM*";"*Indie*";"*Deep*";"*Piano*";"*Slap*";"*Brazilian Bass*"})),"Song would perfectly fit in any dance mood playlist! Label will invest up to 5000 EUR advertising on facebook and instagram ads aswell as promoting it over label and label partners playlists, radio stations and press.",IF(SUM(COUNTIF(H15,{"*Lo-Fi*"})),"Song would perfectly fit in any Lo-Fi mood playlist! Label will invest up to 5000 EUR advertising on facebook and instagram ads aswell as promoting it over label and label partners playlists, radio stations and press.",IF(H15="","","")))</f>
        <v>Song would perfectly fit in any Lo-Fi mood playlist! Label will invest up to 5000 EUR advertising on facebook and instagram ads aswell as promoting it over label and label partners playlists, radio stations and press.</v>
      </c>
      <c r="U15" s="25" t="str">
        <f t="shared" si="3"/>
        <v>SGL</v>
      </c>
      <c r="V15" s="25" t="str">
        <f t="shared" si="4"/>
        <v>Instrumental only</v>
      </c>
      <c r="X15" s="25" t="str">
        <f t="array" aca="1" ref="X15" ca="1">+IF(H15="LO-FI","",IFERROR(INDEX(INDIRECT((_xlfn.XLOOKUP(H15,map_location[Genre],map_location[location]))),RANK(INDIRECT((_xlfn.XLOOKUP(H15,map_location[Genre],map_location[min])),FALSE),INDIRECT((_xlfn.XLOOKUP(H15,map_location[Genre],map_location[rand]))),1)),""))</f>
        <v/>
      </c>
      <c r="Y15" s="25" t="str">
        <f t="array" ref="Y15">IF(SUM(COUNTIF(H15,{"*Deep*";"*Bass*";"*Slap*"})),"**Deep House**House**Dance**",IF(SUM(COUNTIF(H15,{"*Lo-Fi*"})),"**Lo-Fi Pop**Lo-Fi Beats**Lo-Fi**",IF(SUM(COUNTIF(H15,{"*Tech*"})),"**Deep House**Tech House**Dance**",IF(SUM(COUNTIF(H15,{"*Indie/Chill Dance*"})),"**Indie Dance**Indie Electronic**Dance Pop**",IF(SUM(COUNTIF(H15,{"*Piano*"})),"**House**Electro house**Melodic House**",IF(SUM(COUNTIF(H15,{"*EDM*"})),"**EDM**Electro house**Dance Pop**",IF(H15="","","")))))))</f>
        <v>**Lo-Fi Pop**Lo-Fi Beats**Lo-Fi**</v>
      </c>
      <c r="Z15" s="25" t="str">
        <f t="array" ref="Z15">IF(SUM(COUNTIF(H15,{"*Deep*";"*Bass*";"*Slap*"})),"Energetic,Happy",IF(SUM(COUNTIF(H15,{"*Lo-Fi*"})),"Romantic,Chill",IF(SUM(COUNTIF(H15,{"*Tech*"})),"Energetic,Happy",IF(SUM(COUNTIF(H15,{"*Indie/Chill Dance*"})),"Energetic,Chill",IF(SUM(COUNTIF(H15,{"*Piano*"})),"Energetic,Happy",IF(SUM(COUNTIF(H15,{"*EDM*"})),"Energetic,Happy",IF(H15="","","")))))))</f>
        <v>Romantic,Chill</v>
      </c>
      <c r="AA15" s="25" t="str">
        <f t="array" ref="AA15">IF(SUM(COUNTIF(H15,{"*Deep*";"*Bass*";"*Slap*"})),"None of these",IF(SUM(COUNTIF(H15,{"*Lo-Fi*"})),"Holiday,Beats",IF(SUM(COUNTIF(H15,{"*Tech*"})),"None of these",IF(SUM(COUNTIF(H15,{"*Indie/Chill Dance*"})),"None of these",IF(SUM(COUNTIF(H15,{"*Piano*"})),"None of these",IF(SUM(COUNTIF(H15,{"*EDM*"})),"None of these",IF(H15="","","")))))))</f>
        <v>Holiday,Beats</v>
      </c>
      <c r="AB15" s="25" t="str">
        <f t="array" ref="AB15">IF(SUM(COUNTIF(H15,{"*Deep*";"*Bass*";"*Slap*"})),"Samples,Synthesizer,Bass Guitar,Piano,Drum Kit,Electric Guitar",IF(SUM(COUNTIF(H15,{"*Lo-Fi*"})),"Samples,Synthesizer,Bass Guitar,Piano,Drum Kit,Electric Guitar",IF(SUM(COUNTIF(H15,{"*Tech*"})),"Samples,Synthesizer,Bass Guitar,Piano,Drum Kit,Electric Guitar",IF(SUM(COUNTIF(H15,{"*Indie/Chill Dance*"})),"Samples,Synthesizer,Bass Guitar,Piano,Drum Kit,Electric Guitar",IF(SUM(COUNTIF(H15,{"*Piano*"})),"Samples,Synthesizer,Bass Guitar,Piano,Drum Kit,Electric Guitar",IF(SUM(COUNTIF(H15,{"*EDM*"})),"Samples,Synthesizer,Bass Guitar,Piano,Drum Kit,Electric Guitar",IF(H15="","","")))))))</f>
        <v>Samples,Synthesizer,Bass Guitar,Piano,Drum Kit,Electric Guitar</v>
      </c>
      <c r="AC15" s="25" t="str">
        <f t="array" ref="AC15">IF(N15="Cover","Yes",IF(SUM(COUNTIF(N15,{"*Radio/Extended*";"*Radio*";"*Remix*"})),"No",""))</f>
        <v>No</v>
      </c>
      <c r="AD15" s="25" t="str">
        <f t="array" ref="AD15">IF(N15="Remix","Yes",IF(SUM(COUNTIF(N15,{"*Radio/Extended*";"*Radio*";"*Cover*"})),"No",""))</f>
        <v>No</v>
      </c>
      <c r="AE15" s="25" t="str">
        <f t="shared" si="5"/>
        <v>**English**</v>
      </c>
      <c r="AF15" s="25" t="str">
        <f t="array" aca="1" ref="AF15" ca="1">+TRIM(SUBSTITUTE(SUBSTITUTE(SUBSTITUTE(SUBSTITUTE(IFERROR(AO15&amp;" "&amp;+_xlfn.XLOOKUP(((SUM(LEN(AN15))-SUM(LEN(SUBSTITUTE(AN15,",",""))))/LEN(",")+1)&amp;H15,AV:AV&amp;AW:AW,AY:AY)&amp;CHAR(34)&amp;B15&amp;CHAR(34)&amp;"!"&amp;_xlfn.XLOOKUP(H15,text_list[Genre],text_list[Type based on genre]&amp;text_list[Label]),""),"Second",AP15),"Third",AQ15),"Forth",AR15),"Fifth",AS15&amp;" "))</f>
        <v/>
      </c>
      <c r="AI15" s="25" t="str">
        <f t="array" ref="AI15">IF(SUM(COUNTIF(H15,{"*Deep*";"*Bass*";"*Slap*"})),"**Tiësto**Imanbek**",IF(SUM(COUNTIF(H15,{"*Lo-Fi*"})),"**L.Dre**Yasumu**",IF(SUM(COUNTIF(H15,{"*Tech*"})),"**Mau P**Gorgon City**",IF(SUM(COUNTIF(H15,{"*Indie/Chill Dance*"})),"**Felix Jaehn**Lost Frequencies**",IF(SUM(COUNTIF(H15,{"*Piano*"})),"**Avicii**Eric Prydz**",IF(SUM(COUNTIF(H15,{"*EDM*"})),"**David Guetta**Swedish House Mafia**",IF(H15="","","")))))))</f>
        <v>**L.Dre**Yasumu**</v>
      </c>
      <c r="AJ15" s="25" t="str">
        <f t="array" aca="1" ref="AJ15" ca="1">+IFERROR(INDEX(INDIRECT((_xlfn.XLOOKUP(H15,map_country[Genre],map_country[country]))),RANK(INDIRECT((_xlfn.XLOOKUP(H15,map_country[Genre],map_country[min])),FALSE),INDIRECT((_xlfn.XLOOKUP(H15,map_country[Genre],map_country[rand]))),1)),"")</f>
        <v/>
      </c>
      <c r="AN15" s="20" t="str">
        <f>TRIM(SUBSTITUTE(SUBSTITUTE(SUBSTITUTE(A20,"&amp;",","),"feat",","),".",""))</f>
        <v/>
      </c>
      <c r="AO15" s="20" t="str">
        <f ca="1">IFERROR(_xlfn.TEXTBEFORE(AN15,","),AN15)</f>
        <v/>
      </c>
      <c r="AP15" s="20" t="str">
        <f ca="1">IFERROR(TRIM(SUBSTITUTE(SUBSTITUTE(SUBSTITUTE(SUBSTITUTE(_xlfn.TEXTAFTER(AN15,",",1),AQ15,""),AR15,""),AS15,""),",","")),"")</f>
        <v/>
      </c>
      <c r="AQ15" s="20" t="str">
        <f ca="1">IFERROR(SUBSTITUTE(SUBSTITUTE(SUBSTITUTE(_xlfn.TEXTAFTER(AN15,",",2),AR15,""),",",""),AS15,""),"")</f>
        <v/>
      </c>
      <c r="AR15" s="20" t="str">
        <f ca="1">IFERROR(SUBSTITUTE(SUBSTITUTE(_xlfn.TEXTAFTER(AN15,",",3),AS15,""),",",""),"")</f>
        <v/>
      </c>
      <c r="AS15" s="20" t="str">
        <f ca="1">IFERROR(_xlfn.TEXTAFTER(AN15,",",4),"")</f>
        <v/>
      </c>
      <c r="AV15" s="11">
        <v>4</v>
      </c>
      <c r="AW15" s="9" t="s">
        <v>52</v>
      </c>
      <c r="AX15" s="12" t="s">
        <v>124</v>
      </c>
      <c r="AY15" t="e">
        <f ca="1">+_xlfn.TEXTBEFORE(text_list[[#This Row],[Text]],"''''!",,0)</f>
        <v>#NAME?</v>
      </c>
      <c r="AZ15" t="e">
        <f ca="1">+_xlfn.TEXTBEFORE(_xlfn.TEXTAFTER(text_list[[#This Row],[Text]],"'''!"),"Label")</f>
        <v>#NAME?</v>
      </c>
      <c r="BA15" t="e">
        <f ca="1">+_xlfn.TEXTAFTER(text_list[[#This Row],[Text]],text_list[[#This Row],[Type based on genre]])</f>
        <v>#NAME?</v>
      </c>
      <c r="BB15" t="s">
        <v>42</v>
      </c>
      <c r="BH15" t="s">
        <v>59</v>
      </c>
      <c r="BI15" t="s">
        <v>145</v>
      </c>
      <c r="BJ15" t="s">
        <v>146</v>
      </c>
      <c r="BK15" t="str">
        <f>+map_location[[#This Row],[rand]]</f>
        <v>edm[rand]</v>
      </c>
      <c r="BL15" t="str">
        <f>"R"&amp;ROW(CF3)&amp;"C"&amp;COLUMN(CF3)</f>
        <v>R3C84</v>
      </c>
      <c r="BM15" t="str">
        <f>"R"&amp;ROW(CF4)&amp;"C"&amp;COLUMN(CF4)</f>
        <v>R4C84</v>
      </c>
      <c r="BN15" t="str">
        <f>"R"&amp;ROW(CF5)&amp;"C"&amp;COLUMN(CF5)</f>
        <v>R5C84</v>
      </c>
    </row>
    <row r="16" spans="1:323" x14ac:dyDescent="0.25">
      <c r="F16" s="3"/>
      <c r="H16" s="7"/>
      <c r="O16" s="25" t="str">
        <f t="shared" si="0"/>
        <v/>
      </c>
      <c r="P16" s="25" t="str">
        <f t="shared" si="1"/>
        <v/>
      </c>
      <c r="Q16" s="25" t="str">
        <f t="shared" si="2"/>
        <v/>
      </c>
      <c r="R16" s="25" t="str">
        <f t="array" ref="R16">IF(SUM(COUNTIF(H16,{"*Deep*";"*Bass*";"*Slap*"})),"Citas:Deep House",IF(SUM(COUNTIF(H16,{"*Lo-Fi*"})),"Citas:Lo-Fi",IF(SUM(COUNTIF(H16,{"*Tech*"})),"Citas:Tech House",IF(SUM(COUNTIF(H16,{"*Indie/Chill Dance*"})),"Citas:Indie/Chill Dance",IF(SUM(COUNTIF(H16,{"*Piano*"})),"Citas:Piano House",IF(SUM(COUNTIF(H16,{"*EDM*"})),"edm dance",IF(H16="","","")))))))</f>
        <v/>
      </c>
      <c r="S16" s="25" t="str">
        <f t="array" ref="S16">IF(SUM(COUNTIF(H16,{"*Deep*";"*Bass*";"*Slap*"})),"energetic",IF(SUM(COUNTIF(H16,{"*Lo-Fi*"})),"calm",IF(SUM(COUNTIF(H16,{"*Tech*"})),"energetic",IF(SUM(COUNTIF(H16,{"*Indie/Chill Dance*"})),"chillout",IF(SUM(COUNTIF(H16,{"*Piano*"})),"energetic",IF(SUM(COUNTIF(H16,{"*EDM*"})),"energetic",IF(H16="","","")))))))</f>
        <v/>
      </c>
      <c r="T16" s="25" t="str">
        <f t="array" ref="T16">IF(SUM(COUNTIF(H16,{"*Tech*";"*EDM*";"*Indie*";"*Deep*";"*Piano*";"*Slap*";"*Brazilian Bass*"})),"Song would perfectly fit in any dance mood playlist! Label will invest up to 5000 EUR advertising on facebook and instagram ads aswell as promoting it over label and label partners playlists, radio stations and press.",IF(SUM(COUNTIF(H16,{"*Lo-Fi*"})),"Song would perfectly fit in any Lo-Fi mood playlist! Label will invest up to 5000 EUR advertising on facebook and instagram ads aswell as promoting it over label and label partners playlists, radio stations and press.",IF(H16="","","")))</f>
        <v/>
      </c>
      <c r="U16" s="25" t="str">
        <f t="shared" si="3"/>
        <v/>
      </c>
      <c r="V16" s="25" t="str">
        <f t="shared" si="4"/>
        <v/>
      </c>
      <c r="X16" s="25" t="str">
        <f t="array" aca="1" ref="X16" ca="1">+IF(H16="LO-FI","",IFERROR(INDEX(INDIRECT((_xlfn.XLOOKUP(H16,map_location[Genre],map_location[location]))),RANK(INDIRECT((_xlfn.XLOOKUP(H16,map_location[Genre],map_location[min])),FALSE),INDIRECT((_xlfn.XLOOKUP(H16,map_location[Genre],map_location[rand]))),1)),""))</f>
        <v/>
      </c>
      <c r="Y16" s="25" t="str">
        <f t="array" ref="Y16">IF(SUM(COUNTIF(H16,{"*Deep*";"*Bass*";"*Slap*"})),"**Deep House**House**Dance**",IF(SUM(COUNTIF(H16,{"*Lo-Fi*"})),"**Lo-Fi Pop**Lo-Fi Beats**Lo-Fi**",IF(SUM(COUNTIF(H16,{"*Tech*"})),"**Deep House**Tech House**Dance**",IF(SUM(COUNTIF(H16,{"*Indie/Chill Dance*"})),"**Indie Dance**Indie Electronic**Dance Pop**",IF(SUM(COUNTIF(H16,{"*Piano*"})),"**House**Electro house**Melodic House**",IF(SUM(COUNTIF(H16,{"*EDM*"})),"**EDM**Electro house**Dance Pop**",IF(H16="","","")))))))</f>
        <v/>
      </c>
      <c r="Z16" s="25" t="str">
        <f t="array" ref="Z16">IF(SUM(COUNTIF(H16,{"*Deep*";"*Bass*";"*Slap*"})),"Energetic,Happy",IF(SUM(COUNTIF(H16,{"*Lo-Fi*"})),"Romantic,Chill",IF(SUM(COUNTIF(H16,{"*Tech*"})),"Energetic,Happy",IF(SUM(COUNTIF(H16,{"*Indie/Chill Dance*"})),"Energetic,Chill",IF(SUM(COUNTIF(H16,{"*Piano*"})),"Energetic,Happy",IF(SUM(COUNTIF(H16,{"*EDM*"})),"Energetic,Happy",IF(H16="","","")))))))</f>
        <v/>
      </c>
      <c r="AA16" s="25" t="str">
        <f t="array" ref="AA16">IF(SUM(COUNTIF(H16,{"*Deep*";"*Bass*";"*Slap*"})),"None of these",IF(SUM(COUNTIF(H16,{"*Lo-Fi*"})),"Holiday,Beats",IF(SUM(COUNTIF(H16,{"*Tech*"})),"None of these",IF(SUM(COUNTIF(H16,{"*Indie/Chill Dance*"})),"None of these",IF(SUM(COUNTIF(H16,{"*Piano*"})),"None of these",IF(SUM(COUNTIF(H16,{"*EDM*"})),"None of these",IF(H16="","","")))))))</f>
        <v/>
      </c>
      <c r="AB16" s="25" t="str">
        <f t="array" ref="AB16">IF(SUM(COUNTIF(H16,{"*Deep*";"*Bass*";"*Slap*"})),"Samples,Synthesizer,Bass Guitar,Piano,Drum Kit,Electric Guitar",IF(SUM(COUNTIF(H16,{"*Lo-Fi*"})),"Samples,Synthesizer,Bass Guitar,Piano,Drum Kit,Electric Guitar",IF(SUM(COUNTIF(H16,{"*Tech*"})),"Samples,Synthesizer,Bass Guitar,Piano,Drum Kit,Electric Guitar",IF(SUM(COUNTIF(H16,{"*Indie/Chill Dance*"})),"Samples,Synthesizer,Bass Guitar,Piano,Drum Kit,Electric Guitar",IF(SUM(COUNTIF(H16,{"*Piano*"})),"Samples,Synthesizer,Bass Guitar,Piano,Drum Kit,Electric Guitar",IF(SUM(COUNTIF(H16,{"*EDM*"})),"Samples,Synthesizer,Bass Guitar,Piano,Drum Kit,Electric Guitar",IF(H16="","","")))))))</f>
        <v/>
      </c>
      <c r="AC16" s="25" t="str">
        <f t="array" ref="AC16">IF(N16="Cover","Yes",IF(SUM(COUNTIF(N16,{"*Radio/Extended*";"*Radio*";"*Remix*"})),"No",""))</f>
        <v/>
      </c>
      <c r="AD16" s="25" t="str">
        <f t="array" ref="AD16">IF(N16="Remix","Yes",IF(SUM(COUNTIF(N16,{"*Radio/Extended*";"*Radio*";"*Cover*"})),"No",""))</f>
        <v/>
      </c>
      <c r="AE16" s="25" t="str">
        <f t="shared" si="5"/>
        <v/>
      </c>
      <c r="AF16" s="25" t="str">
        <f t="array" aca="1" ref="AF16" ca="1">+TRIM(SUBSTITUTE(SUBSTITUTE(SUBSTITUTE(SUBSTITUTE(IFERROR(AO16&amp;" "&amp;+_xlfn.XLOOKUP(((SUM(LEN(AN16))-SUM(LEN(SUBSTITUTE(AN16,",",""))))/LEN(",")+1)&amp;H16,AV:AV&amp;AW:AW,AY:AY)&amp;CHAR(34)&amp;B16&amp;CHAR(34)&amp;"!"&amp;_xlfn.XLOOKUP(H16,text_list[Genre],text_list[Type based on genre]&amp;text_list[Label]),""),"Second",AP16),"Third",AQ16),"Forth",AR16),"Fifth",AS16&amp;" "))</f>
        <v/>
      </c>
      <c r="AH16" t="str">
        <f t="shared" ref="AH16:AH40" si="9">IF(N21="Remix","Remix",IF(N21="Cover","Cover",IF(N21="Radio","Single",IF(N21="Radio/Extended","Original",""))))</f>
        <v/>
      </c>
      <c r="AI16" s="25" t="str">
        <f t="array" ref="AI16">IF(SUM(COUNTIF(H16,{"*Deep*";"*Bass*";"*Slap*"})),"**Tiësto**Imanbek**",IF(SUM(COUNTIF(H16,{"*Lo-Fi*"})),"**L.Dre**Yasumu**",IF(SUM(COUNTIF(H16,{"*Tech*"})),"**Mau P**Gorgon City**",IF(SUM(COUNTIF(H16,{"*Indie/Chill Dance*"})),"**Felix Jaehn**Lost Frequencies**",IF(SUM(COUNTIF(H16,{"*Piano*"})),"**Avicii**Eric Prydz**",IF(SUM(COUNTIF(H16,{"*EDM*"})),"**David Guetta**Swedish House Mafia**",IF(H16="","","")))))))</f>
        <v/>
      </c>
      <c r="AJ16" s="25" t="str">
        <f t="array" aca="1" ref="AJ16" ca="1">+IFERROR(INDEX(INDIRECT((_xlfn.XLOOKUP(H16,map_country[Genre],map_country[country]))),RANK(INDIRECT((_xlfn.XLOOKUP(H16,map_country[Genre],map_country[min])),FALSE),INDIRECT((_xlfn.XLOOKUP(H16,map_country[Genre],map_country[rand]))),1)),"")</f>
        <v/>
      </c>
      <c r="AN16" s="20" t="str">
        <f>TRIM(SUBSTITUTE(SUBSTITUTE(SUBSTITUTE(A21,"&amp;",","),"feat",","),".",""))</f>
        <v/>
      </c>
      <c r="AO16" s="20" t="str">
        <f ca="1">IFERROR(_xlfn.TEXTBEFORE(AN16,","),AN16)</f>
        <v/>
      </c>
      <c r="AP16" s="20" t="str">
        <f ca="1">IFERROR(TRIM(SUBSTITUTE(SUBSTITUTE(SUBSTITUTE(SUBSTITUTE(_xlfn.TEXTAFTER(AN16,",",1),AQ16,""),AR16,""),AS16,""),",","")),"")</f>
        <v/>
      </c>
      <c r="AQ16" s="20" t="str">
        <f ca="1">IFERROR(SUBSTITUTE(SUBSTITUTE(SUBSTITUTE(_xlfn.TEXTAFTER(AN16,",",2),AR16,""),",",""),AS16,""),"")</f>
        <v/>
      </c>
      <c r="AR16" s="20" t="str">
        <f ca="1">IFERROR(SUBSTITUTE(SUBSTITUTE(_xlfn.TEXTAFTER(AN16,",",3),AS16,""),",",""),"")</f>
        <v/>
      </c>
      <c r="AS16" s="20" t="str">
        <f ca="1">IFERROR(_xlfn.TEXTAFTER(AN16,",",4),"")</f>
        <v/>
      </c>
      <c r="AV16" s="11">
        <v>5</v>
      </c>
      <c r="AW16" s="9" t="s">
        <v>52</v>
      </c>
      <c r="AX16" s="12" t="s">
        <v>95</v>
      </c>
      <c r="AY16" t="e">
        <f ca="1">+_xlfn.TEXTBEFORE(text_list[[#This Row],[Text]],"''''!",,0)</f>
        <v>#NAME?</v>
      </c>
      <c r="AZ16" t="e">
        <f ca="1">+_xlfn.TEXTBEFORE(_xlfn.TEXTAFTER(text_list[[#This Row],[Text]],"'''!"),"Label")</f>
        <v>#NAME?</v>
      </c>
      <c r="BA16" t="e">
        <f ca="1">+_xlfn.TEXTAFTER(text_list[[#This Row],[Text]],text_list[[#This Row],[Type based on genre]])</f>
        <v>#NAME?</v>
      </c>
      <c r="BB16" t="s">
        <v>42</v>
      </c>
    </row>
    <row r="17" spans="6:76" x14ac:dyDescent="0.25">
      <c r="F17" s="3"/>
      <c r="H17" s="7"/>
      <c r="O17" s="25" t="str">
        <f t="shared" si="0"/>
        <v/>
      </c>
      <c r="P17" s="25" t="str">
        <f t="shared" si="1"/>
        <v/>
      </c>
      <c r="Q17" s="25" t="str">
        <f t="shared" si="2"/>
        <v/>
      </c>
      <c r="R17" s="25" t="str">
        <f t="array" ref="R17">IF(SUM(COUNTIF(H17,{"*Deep*";"*Bass*";"*Slap*"})),"Citas:Deep House",IF(SUM(COUNTIF(H17,{"*Lo-Fi*"})),"Citas:Lo-Fi",IF(SUM(COUNTIF(H17,{"*Tech*"})),"Citas:Tech House",IF(SUM(COUNTIF(H17,{"*Indie/Chill Dance*"})),"Citas:Indie/Chill Dance",IF(SUM(COUNTIF(H17,{"*Piano*"})),"Citas:Piano House",IF(SUM(COUNTIF(H17,{"*EDM*"})),"edm dance",IF(H17="","","")))))))</f>
        <v/>
      </c>
      <c r="S17" s="25" t="str">
        <f t="array" ref="S17">IF(SUM(COUNTIF(H17,{"*Deep*";"*Bass*";"*Slap*"})),"energetic",IF(SUM(COUNTIF(H17,{"*Lo-Fi*"})),"calm",IF(SUM(COUNTIF(H17,{"*Tech*"})),"energetic",IF(SUM(COUNTIF(H17,{"*Indie/Chill Dance*"})),"chillout",IF(SUM(COUNTIF(H17,{"*Piano*"})),"energetic",IF(SUM(COUNTIF(H17,{"*EDM*"})),"energetic",IF(H17="","","")))))))</f>
        <v/>
      </c>
      <c r="T17" s="25" t="str">
        <f t="array" ref="T17">IF(SUM(COUNTIF(H17,{"*Tech*";"*EDM*";"*Indie*";"*Deep*";"*Piano*";"*Slap*";"*Brazilian Bass*"})),"Song would perfectly fit in any dance mood playlist! Label will invest up to 5000 EUR advertising on facebook and instagram ads aswell as promoting it over label and label partners playlists, radio stations and press.",IF(SUM(COUNTIF(H17,{"*Lo-Fi*"})),"Song would perfectly fit in any Lo-Fi mood playlist! Label will invest up to 5000 EUR advertising on facebook and instagram ads aswell as promoting it over label and label partners playlists, radio stations and press.",IF(H17="","","")))</f>
        <v/>
      </c>
      <c r="U17" s="25" t="str">
        <f t="shared" si="3"/>
        <v/>
      </c>
      <c r="V17" s="25" t="str">
        <f t="shared" si="4"/>
        <v/>
      </c>
      <c r="X17" s="25" t="str">
        <f t="array" aca="1" ref="X17" ca="1">+IF(H17="LO-FI","",IFERROR(INDEX(INDIRECT((_xlfn.XLOOKUP(H17,map_location[Genre],map_location[location]))),RANK(INDIRECT((_xlfn.XLOOKUP(H17,map_location[Genre],map_location[min])),FALSE),INDIRECT((_xlfn.XLOOKUP(H17,map_location[Genre],map_location[rand]))),1)),""))</f>
        <v/>
      </c>
      <c r="Y17" s="25" t="str">
        <f t="array" ref="Y17">IF(SUM(COUNTIF(H17,{"*Deep*";"*Bass*";"*Slap*"})),"**Deep House**House**Dance**",IF(SUM(COUNTIF(H17,{"*Lo-Fi*"})),"**Lo-Fi Pop**Lo-Fi Beats**Lo-Fi**",IF(SUM(COUNTIF(H17,{"*Tech*"})),"**Deep House**Tech House**Dance**",IF(SUM(COUNTIF(H17,{"*Indie/Chill Dance*"})),"**Indie Dance**Indie Electronic**Dance Pop**",IF(SUM(COUNTIF(H17,{"*Piano*"})),"**House**Electro house**Melodic House**",IF(SUM(COUNTIF(H17,{"*EDM*"})),"**EDM**Electro house**Dance Pop**",IF(H17="","","")))))))</f>
        <v/>
      </c>
      <c r="Z17" s="25" t="str">
        <f t="array" ref="Z17">IF(SUM(COUNTIF(H17,{"*Deep*";"*Bass*";"*Slap*"})),"Energetic,Happy",IF(SUM(COUNTIF(H17,{"*Lo-Fi*"})),"Romantic,Chill",IF(SUM(COUNTIF(H17,{"*Tech*"})),"Energetic,Happy",IF(SUM(COUNTIF(H17,{"*Indie/Chill Dance*"})),"Energetic,Chill",IF(SUM(COUNTIF(H17,{"*Piano*"})),"Energetic,Happy",IF(SUM(COUNTIF(H17,{"*EDM*"})),"Energetic,Happy",IF(H17="","","")))))))</f>
        <v/>
      </c>
      <c r="AA17" s="25" t="str">
        <f t="array" ref="AA17">IF(SUM(COUNTIF(H17,{"*Deep*";"*Bass*";"*Slap*"})),"None of these",IF(SUM(COUNTIF(H17,{"*Lo-Fi*"})),"Holiday,Beats",IF(SUM(COUNTIF(H17,{"*Tech*"})),"None of these",IF(SUM(COUNTIF(H17,{"*Indie/Chill Dance*"})),"None of these",IF(SUM(COUNTIF(H17,{"*Piano*"})),"None of these",IF(SUM(COUNTIF(H17,{"*EDM*"})),"None of these",IF(H17="","","")))))))</f>
        <v/>
      </c>
      <c r="AB17" s="25" t="str">
        <f t="array" ref="AB17">IF(SUM(COUNTIF(H17,{"*Deep*";"*Bass*";"*Slap*"})),"Samples,Synthesizer,Bass Guitar,Piano,Drum Kit,Electric Guitar",IF(SUM(COUNTIF(H17,{"*Lo-Fi*"})),"Samples,Synthesizer,Bass Guitar,Piano,Drum Kit,Electric Guitar",IF(SUM(COUNTIF(H17,{"*Tech*"})),"Samples,Synthesizer,Bass Guitar,Piano,Drum Kit,Electric Guitar",IF(SUM(COUNTIF(H17,{"*Indie/Chill Dance*"})),"Samples,Synthesizer,Bass Guitar,Piano,Drum Kit,Electric Guitar",IF(SUM(COUNTIF(H17,{"*Piano*"})),"Samples,Synthesizer,Bass Guitar,Piano,Drum Kit,Electric Guitar",IF(SUM(COUNTIF(H17,{"*EDM*"})),"Samples,Synthesizer,Bass Guitar,Piano,Drum Kit,Electric Guitar",IF(H17="","","")))))))</f>
        <v/>
      </c>
      <c r="AC17" s="25" t="str">
        <f t="array" ref="AC17">IF(N17="Cover","Yes",IF(SUM(COUNTIF(N17,{"*Radio/Extended*";"*Radio*";"*Remix*"})),"No",""))</f>
        <v/>
      </c>
      <c r="AD17" s="25" t="str">
        <f t="array" ref="AD17">IF(N17="Remix","Yes",IF(SUM(COUNTIF(N17,{"*Radio/Extended*";"*Radio*";"*Cover*"})),"No",""))</f>
        <v/>
      </c>
      <c r="AE17" s="25" t="str">
        <f t="shared" si="5"/>
        <v/>
      </c>
      <c r="AF17" s="25" t="str">
        <f t="array" aca="1" ref="AF17" ca="1">+TRIM(SUBSTITUTE(SUBSTITUTE(SUBSTITUTE(SUBSTITUTE(IFERROR(AO17&amp;" "&amp;+_xlfn.XLOOKUP(((SUM(LEN(AN17))-SUM(LEN(SUBSTITUTE(AN17,",",""))))/LEN(",")+1)&amp;H17,AV:AV&amp;AW:AW,AY:AY)&amp;CHAR(34)&amp;B17&amp;CHAR(34)&amp;"!"&amp;_xlfn.XLOOKUP(H17,text_list[Genre],text_list[Type based on genre]&amp;text_list[Label]),""),"Second",AP17),"Third",AQ17),"Forth",AR17),"Fifth",AS17&amp;" "))</f>
        <v/>
      </c>
      <c r="AH17" t="str">
        <f t="shared" si="9"/>
        <v/>
      </c>
      <c r="AI17" s="25" t="str">
        <f t="array" ref="AI17">IF(SUM(COUNTIF(H17,{"*Deep*";"*Bass*";"*Slap*"})),"**Tiësto**Imanbek**",IF(SUM(COUNTIF(H17,{"*Lo-Fi*"})),"**L.Dre**Yasumu**",IF(SUM(COUNTIF(H17,{"*Tech*"})),"**Mau P**Gorgon City**",IF(SUM(COUNTIF(H17,{"*Indie/Chill Dance*"})),"**Felix Jaehn**Lost Frequencies**",IF(SUM(COUNTIF(H17,{"*Piano*"})),"**Avicii**Eric Prydz**",IF(SUM(COUNTIF(H17,{"*EDM*"})),"**David Guetta**Swedish House Mafia**",IF(H17="","","")))))))</f>
        <v/>
      </c>
      <c r="AJ17" s="25" t="str">
        <f t="array" aca="1" ref="AJ17" ca="1">+IFERROR(INDEX(INDIRECT((_xlfn.XLOOKUP(H17,map_country[Genre],map_country[country]))),RANK(INDIRECT((_xlfn.XLOOKUP(H17,map_country[Genre],map_country[min])),FALSE),INDIRECT((_xlfn.XLOOKUP(H17,map_country[Genre],map_country[rand]))),1)),"")</f>
        <v/>
      </c>
      <c r="AN17" s="20" t="str">
        <f>TRIM(SUBSTITUTE(SUBSTITUTE(SUBSTITUTE(A22,"&amp;",","),"feat",","),".",""))</f>
        <v/>
      </c>
      <c r="AO17" s="20" t="str">
        <f ca="1">IFERROR(_xlfn.TEXTBEFORE(AN17,","),AN17)</f>
        <v/>
      </c>
      <c r="AP17" s="20" t="str">
        <f ca="1">IFERROR(TRIM(SUBSTITUTE(SUBSTITUTE(SUBSTITUTE(SUBSTITUTE(_xlfn.TEXTAFTER(AN17,",",1),AQ17,""),AR17,""),AS17,""),",","")),"")</f>
        <v/>
      </c>
      <c r="AQ17" s="20" t="str">
        <f ca="1">IFERROR(SUBSTITUTE(SUBSTITUTE(SUBSTITUTE(_xlfn.TEXTAFTER(AN17,",",2),AR17,""),",",""),AS17,""),"")</f>
        <v/>
      </c>
      <c r="AR17" s="20" t="str">
        <f ca="1">IFERROR(SUBSTITUTE(SUBSTITUTE(_xlfn.TEXTAFTER(AN17,",",3),AS17,""),",",""),"")</f>
        <v/>
      </c>
      <c r="AS17" s="20" t="str">
        <f ca="1">IFERROR(_xlfn.TEXTAFTER(AN17,",",4),"")</f>
        <v/>
      </c>
      <c r="AV17" s="11">
        <v>1</v>
      </c>
      <c r="AW17" s="8" t="s">
        <v>54</v>
      </c>
      <c r="AX17" s="12" t="s">
        <v>147</v>
      </c>
      <c r="AY17" t="e">
        <f ca="1">+_xlfn.TEXTBEFORE(text_list[[#This Row],[Text]],"''''!",,0)</f>
        <v>#NAME?</v>
      </c>
      <c r="AZ17" t="e">
        <f ca="1">+_xlfn.TEXTBEFORE(_xlfn.TEXTAFTER(text_list[[#This Row],[Text]],"'''!"),"Label")</f>
        <v>#NAME?</v>
      </c>
      <c r="BA17" t="e">
        <f ca="1">+_xlfn.TEXTAFTER(text_list[[#This Row],[Text]],text_list[[#This Row],[Type based on genre]])</f>
        <v>#NAME?</v>
      </c>
      <c r="BB17" t="s">
        <v>42</v>
      </c>
    </row>
    <row r="18" spans="6:76" x14ac:dyDescent="0.25">
      <c r="F18" s="3"/>
      <c r="H18" s="7"/>
      <c r="O18" s="25" t="str">
        <f t="shared" si="0"/>
        <v/>
      </c>
      <c r="P18" s="25" t="str">
        <f t="shared" si="1"/>
        <v/>
      </c>
      <c r="Q18" s="25" t="str">
        <f t="shared" si="2"/>
        <v/>
      </c>
      <c r="R18" s="25" t="str">
        <f t="array" ref="R18">IF(SUM(COUNTIF(H18,{"*Deep*";"*Bass*";"*Slap*"})),"Citas:Deep House",IF(SUM(COUNTIF(H18,{"*Lo-Fi*"})),"Citas:Lo-Fi",IF(SUM(COUNTIF(H18,{"*Tech*"})),"Citas:Tech House",IF(SUM(COUNTIF(H18,{"*Indie/Chill Dance*"})),"Citas:Indie/Chill Dance",IF(SUM(COUNTIF(H18,{"*Piano*"})),"Citas:Piano House",IF(SUM(COUNTIF(H18,{"*EDM*"})),"edm dance",IF(H18="","","")))))))</f>
        <v/>
      </c>
      <c r="S18" s="25" t="str">
        <f t="array" ref="S18">IF(SUM(COUNTIF(H18,{"*Deep*";"*Bass*";"*Slap*"})),"energetic",IF(SUM(COUNTIF(H18,{"*Lo-Fi*"})),"calm",IF(SUM(COUNTIF(H18,{"*Tech*"})),"energetic",IF(SUM(COUNTIF(H18,{"*Indie/Chill Dance*"})),"chillout",IF(SUM(COUNTIF(H18,{"*Piano*"})),"energetic",IF(SUM(COUNTIF(H18,{"*EDM*"})),"energetic",IF(H18="","","")))))))</f>
        <v/>
      </c>
      <c r="T18" s="25" t="str">
        <f t="array" ref="T18">IF(SUM(COUNTIF(H18,{"*Tech*";"*EDM*";"*Indie*";"*Deep*";"*Piano*";"*Slap*";"*Brazilian Bass*"})),"Song would perfectly fit in any dance mood playlist! Label will invest up to 5000 EUR advertising on facebook and instagram ads aswell as promoting it over label and label partners playlists, radio stations and press.",IF(SUM(COUNTIF(H18,{"*Lo-Fi*"})),"Song would perfectly fit in any Lo-Fi mood playlist! Label will invest up to 5000 EUR advertising on facebook and instagram ads aswell as promoting it over label and label partners playlists, radio stations and press.",IF(H18="","","")))</f>
        <v/>
      </c>
      <c r="U18" s="25" t="str">
        <f t="shared" si="3"/>
        <v/>
      </c>
      <c r="V18" s="25" t="str">
        <f t="shared" si="4"/>
        <v/>
      </c>
      <c r="X18" s="25" t="str">
        <f t="array" aca="1" ref="X18" ca="1">+IF(H18="LO-FI","",IFERROR(INDEX(INDIRECT((_xlfn.XLOOKUP(H18,map_location[Genre],map_location[location]))),RANK(INDIRECT((_xlfn.XLOOKUP(H18,map_location[Genre],map_location[min])),FALSE),INDIRECT((_xlfn.XLOOKUP(H18,map_location[Genre],map_location[rand]))),1)),""))</f>
        <v/>
      </c>
      <c r="Y18" s="25" t="str">
        <f t="array" ref="Y18">IF(SUM(COUNTIF(H18,{"*Deep*";"*Bass*";"*Slap*"})),"**Deep House**House**Dance**",IF(SUM(COUNTIF(H18,{"*Lo-Fi*"})),"**Lo-Fi Pop**Lo-Fi Beats**Lo-Fi**",IF(SUM(COUNTIF(H18,{"*Tech*"})),"**Deep House**Tech House**Dance**",IF(SUM(COUNTIF(H18,{"*Indie/Chill Dance*"})),"**Indie Dance**Indie Electronic**Dance Pop**",IF(SUM(COUNTIF(H18,{"*Piano*"})),"**House**Electro house**Melodic House**",IF(SUM(COUNTIF(H18,{"*EDM*"})),"**EDM**Electro house**Dance Pop**",IF(H18="","","")))))))</f>
        <v/>
      </c>
      <c r="Z18" s="25" t="str">
        <f t="array" ref="Z18">IF(SUM(COUNTIF(H18,{"*Deep*";"*Bass*";"*Slap*"})),"Energetic,Happy",IF(SUM(COUNTIF(H18,{"*Lo-Fi*"})),"Romantic,Chill",IF(SUM(COUNTIF(H18,{"*Tech*"})),"Energetic,Happy",IF(SUM(COUNTIF(H18,{"*Indie/Chill Dance*"})),"Energetic,Chill",IF(SUM(COUNTIF(H18,{"*Piano*"})),"Energetic,Happy",IF(SUM(COUNTIF(H18,{"*EDM*"})),"Energetic,Happy",IF(H18="","","")))))))</f>
        <v/>
      </c>
      <c r="AA18" s="25" t="str">
        <f t="array" ref="AA18">IF(SUM(COUNTIF(H18,{"*Deep*";"*Bass*";"*Slap*"})),"None of these",IF(SUM(COUNTIF(H18,{"*Lo-Fi*"})),"Holiday,Beats",IF(SUM(COUNTIF(H18,{"*Tech*"})),"None of these",IF(SUM(COUNTIF(H18,{"*Indie/Chill Dance*"})),"None of these",IF(SUM(COUNTIF(H18,{"*Piano*"})),"None of these",IF(SUM(COUNTIF(H18,{"*EDM*"})),"None of these",IF(H18="","","")))))))</f>
        <v/>
      </c>
      <c r="AB18" s="25" t="str">
        <f t="array" ref="AB18">IF(SUM(COUNTIF(H18,{"*Deep*";"*Bass*";"*Slap*"})),"Samples,Synthesizer,Bass Guitar,Piano,Drum Kit,Electric Guitar",IF(SUM(COUNTIF(H18,{"*Lo-Fi*"})),"Samples,Synthesizer,Bass Guitar,Piano,Drum Kit,Electric Guitar",IF(SUM(COUNTIF(H18,{"*Tech*"})),"Samples,Synthesizer,Bass Guitar,Piano,Drum Kit,Electric Guitar",IF(SUM(COUNTIF(H18,{"*Indie/Chill Dance*"})),"Samples,Synthesizer,Bass Guitar,Piano,Drum Kit,Electric Guitar",IF(SUM(COUNTIF(H18,{"*Piano*"})),"Samples,Synthesizer,Bass Guitar,Piano,Drum Kit,Electric Guitar",IF(SUM(COUNTIF(H18,{"*EDM*"})),"Samples,Synthesizer,Bass Guitar,Piano,Drum Kit,Electric Guitar",IF(H18="","","")))))))</f>
        <v/>
      </c>
      <c r="AC18" s="25" t="str">
        <f t="array" ref="AC18">IF(N18="Cover","Yes",IF(SUM(COUNTIF(N18,{"*Radio/Extended*";"*Radio*";"*Remix*"})),"No",""))</f>
        <v/>
      </c>
      <c r="AD18" s="25" t="str">
        <f t="array" ref="AD18">IF(N18="Remix","Yes",IF(SUM(COUNTIF(N18,{"*Radio/Extended*";"*Radio*";"*Cover*"})),"No",""))</f>
        <v/>
      </c>
      <c r="AE18" s="25" t="str">
        <f t="shared" si="5"/>
        <v/>
      </c>
      <c r="AF18" s="25" t="str">
        <f t="array" aca="1" ref="AF18" ca="1">+TRIM(SUBSTITUTE(SUBSTITUTE(SUBSTITUTE(SUBSTITUTE(IFERROR(AO18&amp;" "&amp;+_xlfn.XLOOKUP(((SUM(LEN(AN18))-SUM(LEN(SUBSTITUTE(AN18,",",""))))/LEN(",")+1)&amp;H18,AV:AV&amp;AW:AW,AY:AY)&amp;CHAR(34)&amp;B18&amp;CHAR(34)&amp;"!"&amp;_xlfn.XLOOKUP(H18,text_list[Genre],text_list[Type based on genre]&amp;text_list[Label]),""),"Second",AP18),"Third",AQ18),"Forth",AR18),"Fifth",AS18&amp;" "))</f>
        <v/>
      </c>
      <c r="AH18" t="str">
        <f t="shared" si="9"/>
        <v/>
      </c>
      <c r="AI18" s="25" t="str">
        <f t="array" ref="AI18">IF(SUM(COUNTIF(H18,{"*Deep*";"*Bass*";"*Slap*"})),"**Tiësto**Imanbek**",IF(SUM(COUNTIF(H18,{"*Lo-Fi*"})),"**L.Dre**Yasumu**",IF(SUM(COUNTIF(H18,{"*Tech*"})),"**Mau P**Gorgon City**",IF(SUM(COUNTIF(H18,{"*Indie/Chill Dance*"})),"**Felix Jaehn**Lost Frequencies**",IF(SUM(COUNTIF(H18,{"*Piano*"})),"**Avicii**Eric Prydz**",IF(SUM(COUNTIF(H18,{"*EDM*"})),"**David Guetta**Swedish House Mafia**",IF(H18="","","")))))))</f>
        <v/>
      </c>
      <c r="AJ18" s="25" t="str">
        <f t="array" aca="1" ref="AJ18" ca="1">+IFERROR(INDEX(INDIRECT((_xlfn.XLOOKUP(H18,map_country[Genre],map_country[country]))),RANK(INDIRECT((_xlfn.XLOOKUP(H18,map_country[Genre],map_country[min])),FALSE),INDIRECT((_xlfn.XLOOKUP(H18,map_country[Genre],map_country[rand]))),1)),"")</f>
        <v/>
      </c>
      <c r="AN18" s="20" t="str">
        <f>TRIM(SUBSTITUTE(SUBSTITUTE(SUBSTITUTE(A23,"&amp;",","),"feat",","),".",""))</f>
        <v/>
      </c>
      <c r="AO18" s="20" t="str">
        <f ca="1">IFERROR(_xlfn.TEXTBEFORE(AN18,","),AN18)</f>
        <v/>
      </c>
      <c r="AP18" s="20" t="str">
        <f ca="1">IFERROR(TRIM(SUBSTITUTE(SUBSTITUTE(SUBSTITUTE(SUBSTITUTE(_xlfn.TEXTAFTER(AN18,",",1),AQ18,""),AR18,""),AS18,""),",","")),"")</f>
        <v/>
      </c>
      <c r="AQ18" s="20" t="str">
        <f ca="1">IFERROR(SUBSTITUTE(SUBSTITUTE(SUBSTITUTE(_xlfn.TEXTAFTER(AN18,",",2),AR18,""),",",""),AS18,""),"")</f>
        <v/>
      </c>
      <c r="AR18" s="20" t="str">
        <f ca="1">IFERROR(SUBSTITUTE(SUBSTITUTE(_xlfn.TEXTAFTER(AN18,",",3),AS18,""),",",""),"")</f>
        <v/>
      </c>
      <c r="AS18" s="20" t="str">
        <f ca="1">IFERROR(_xlfn.TEXTAFTER(AN18,",",4),"")</f>
        <v/>
      </c>
      <c r="AV18" s="11">
        <v>2</v>
      </c>
      <c r="AW18" s="8" t="s">
        <v>54</v>
      </c>
      <c r="AX18" s="12" t="s">
        <v>148</v>
      </c>
      <c r="AY18" t="e">
        <f ca="1">+_xlfn.TEXTBEFORE(text_list[[#This Row],[Text]],"''''!",,0)</f>
        <v>#NAME?</v>
      </c>
      <c r="AZ18" t="e">
        <f ca="1">+_xlfn.TEXTBEFORE(_xlfn.TEXTAFTER(text_list[[#This Row],[Text]],"'''!"),"Label")</f>
        <v>#NAME?</v>
      </c>
      <c r="BA18" t="e">
        <f ca="1">+_xlfn.TEXTAFTER(text_list[[#This Row],[Text]],text_list[[#This Row],[Type based on genre]])</f>
        <v>#NAME?</v>
      </c>
      <c r="BB18" t="s">
        <v>42</v>
      </c>
    </row>
    <row r="19" spans="6:76" x14ac:dyDescent="0.25">
      <c r="F19" s="3"/>
      <c r="H19" s="7"/>
      <c r="O19" s="25" t="str">
        <f t="shared" si="0"/>
        <v/>
      </c>
      <c r="P19" s="25" t="str">
        <f t="shared" si="1"/>
        <v/>
      </c>
      <c r="Q19" s="25" t="str">
        <f t="shared" si="2"/>
        <v/>
      </c>
      <c r="R19" s="25" t="str">
        <f t="array" ref="R19">IF(SUM(COUNTIF(H19,{"*Deep*";"*Bass*";"*Slap*"})),"Citas:Deep House",IF(SUM(COUNTIF(H19,{"*Lo-Fi*"})),"Citas:Lo-Fi",IF(SUM(COUNTIF(H19,{"*Tech*"})),"Citas:Tech House",IF(SUM(COUNTIF(H19,{"*Indie/Chill Dance*"})),"Citas:Indie/Chill Dance",IF(SUM(COUNTIF(H19,{"*Piano*"})),"Citas:Piano House",IF(SUM(COUNTIF(H19,{"*EDM*"})),"edm dance",IF(H19="","","")))))))</f>
        <v/>
      </c>
      <c r="S19" s="25" t="str">
        <f t="array" ref="S19">IF(SUM(COUNTIF(H19,{"*Deep*";"*Bass*";"*Slap*"})),"energetic",IF(SUM(COUNTIF(H19,{"*Lo-Fi*"})),"calm",IF(SUM(COUNTIF(H19,{"*Tech*"})),"energetic",IF(SUM(COUNTIF(H19,{"*Indie/Chill Dance*"})),"chillout",IF(SUM(COUNTIF(H19,{"*Piano*"})),"energetic",IF(SUM(COUNTIF(H19,{"*EDM*"})),"energetic",IF(H19="","","")))))))</f>
        <v/>
      </c>
      <c r="T19" s="25" t="str">
        <f t="array" ref="T19">IF(SUM(COUNTIF(H19,{"*Tech*";"*EDM*";"*Indie*";"*Deep*";"*Piano*";"*Slap*";"*Brazilian Bass*"})),"Song would perfectly fit in any dance mood playlist! Label will invest up to 5000 EUR advertising on facebook and instagram ads aswell as promoting it over label and label partners playlists, radio stations and press.",IF(SUM(COUNTIF(H19,{"*Lo-Fi*"})),"Song would perfectly fit in any Lo-Fi mood playlist! Label will invest up to 5000 EUR advertising on facebook and instagram ads aswell as promoting it over label and label partners playlists, radio stations and press.",IF(H19="","","")))</f>
        <v/>
      </c>
      <c r="U19" s="25" t="str">
        <f t="shared" si="3"/>
        <v/>
      </c>
      <c r="V19" s="25" t="str">
        <f t="shared" si="4"/>
        <v/>
      </c>
      <c r="X19" s="25" t="str">
        <f t="array" aca="1" ref="X19" ca="1">+IF(H19="LO-FI","",IFERROR(INDEX(INDIRECT((_xlfn.XLOOKUP(H19,map_location[Genre],map_location[location]))),RANK(INDIRECT((_xlfn.XLOOKUP(H19,map_location[Genre],map_location[min])),FALSE),INDIRECT((_xlfn.XLOOKUP(H19,map_location[Genre],map_location[rand]))),1)),""))</f>
        <v/>
      </c>
      <c r="Y19" s="25" t="str">
        <f t="array" ref="Y19">IF(SUM(COUNTIF(H19,{"*Deep*";"*Bass*";"*Slap*"})),"**Deep House**House**Dance**",IF(SUM(COUNTIF(H19,{"*Lo-Fi*"})),"**Lo-Fi Pop**Lo-Fi Beats**Lo-Fi**",IF(SUM(COUNTIF(H19,{"*Tech*"})),"**Deep House**Tech House**Dance**",IF(SUM(COUNTIF(H19,{"*Indie/Chill Dance*"})),"**Indie Dance**Indie Electronic**Dance Pop**",IF(SUM(COUNTIF(H19,{"*Piano*"})),"**House**Electro house**Melodic House**",IF(SUM(COUNTIF(H19,{"*EDM*"})),"**EDM**Electro house**Dance Pop**",IF(H19="","","")))))))</f>
        <v/>
      </c>
      <c r="Z19" s="25" t="str">
        <f t="array" ref="Z19">IF(SUM(COUNTIF(H19,{"*Deep*";"*Bass*";"*Slap*"})),"Energetic,Happy",IF(SUM(COUNTIF(H19,{"*Lo-Fi*"})),"Romantic,Chill",IF(SUM(COUNTIF(H19,{"*Tech*"})),"Energetic,Happy",IF(SUM(COUNTIF(H19,{"*Indie/Chill Dance*"})),"Energetic,Chill",IF(SUM(COUNTIF(H19,{"*Piano*"})),"Energetic,Happy",IF(SUM(COUNTIF(H19,{"*EDM*"})),"Energetic,Happy",IF(H19="","","")))))))</f>
        <v/>
      </c>
      <c r="AA19" s="25" t="str">
        <f t="array" ref="AA19">IF(SUM(COUNTIF(H19,{"*Deep*";"*Bass*";"*Slap*"})),"None of these",IF(SUM(COUNTIF(H19,{"*Lo-Fi*"})),"Holiday,Beats",IF(SUM(COUNTIF(H19,{"*Tech*"})),"None of these",IF(SUM(COUNTIF(H19,{"*Indie/Chill Dance*"})),"None of these",IF(SUM(COUNTIF(H19,{"*Piano*"})),"None of these",IF(SUM(COUNTIF(H19,{"*EDM*"})),"None of these",IF(H19="","","")))))))</f>
        <v/>
      </c>
      <c r="AB19" s="25" t="str">
        <f t="array" ref="AB19">IF(SUM(COUNTIF(H19,{"*Deep*";"*Bass*";"*Slap*"})),"Samples,Synthesizer,Bass Guitar,Piano,Drum Kit,Electric Guitar",IF(SUM(COUNTIF(H19,{"*Lo-Fi*"})),"Samples,Synthesizer,Bass Guitar,Piano,Drum Kit,Electric Guitar",IF(SUM(COUNTIF(H19,{"*Tech*"})),"Samples,Synthesizer,Bass Guitar,Piano,Drum Kit,Electric Guitar",IF(SUM(COUNTIF(H19,{"*Indie/Chill Dance*"})),"Samples,Synthesizer,Bass Guitar,Piano,Drum Kit,Electric Guitar",IF(SUM(COUNTIF(H19,{"*Piano*"})),"Samples,Synthesizer,Bass Guitar,Piano,Drum Kit,Electric Guitar",IF(SUM(COUNTIF(H19,{"*EDM*"})),"Samples,Synthesizer,Bass Guitar,Piano,Drum Kit,Electric Guitar",IF(H19="","","")))))))</f>
        <v/>
      </c>
      <c r="AC19" s="25" t="str">
        <f t="array" ref="AC19">IF(N19="Cover","Yes",IF(SUM(COUNTIF(N19,{"*Radio/Extended*";"*Radio*";"*Remix*"})),"No",""))</f>
        <v/>
      </c>
      <c r="AD19" s="25" t="str">
        <f t="array" ref="AD19">IF(N19="Remix","Yes",IF(SUM(COUNTIF(N19,{"*Radio/Extended*";"*Radio*";"*Cover*"})),"No",""))</f>
        <v/>
      </c>
      <c r="AE19" s="25" t="str">
        <f t="shared" si="5"/>
        <v/>
      </c>
      <c r="AF19" s="25" t="str">
        <f t="array" aca="1" ref="AF19" ca="1">+TRIM(SUBSTITUTE(SUBSTITUTE(SUBSTITUTE(SUBSTITUTE(IFERROR(AO19&amp;" "&amp;+_xlfn.XLOOKUP(((SUM(LEN(AN19))-SUM(LEN(SUBSTITUTE(AN19,",",""))))/LEN(",")+1)&amp;H19,AV:AV&amp;AW:AW,AY:AY)&amp;CHAR(34)&amp;B19&amp;CHAR(34)&amp;"!"&amp;_xlfn.XLOOKUP(H19,text_list[Genre],text_list[Type based on genre]&amp;text_list[Label]),""),"Second",AP19),"Third",AQ19),"Forth",AR19),"Fifth",AS19&amp;" "))</f>
        <v/>
      </c>
      <c r="AH19" t="str">
        <f t="shared" si="9"/>
        <v/>
      </c>
      <c r="AI19" s="25" t="str">
        <f t="array" ref="AI19">IF(SUM(COUNTIF(H19,{"*Deep*";"*Bass*";"*Slap*"})),"**Tiësto**Imanbek**",IF(SUM(COUNTIF(H19,{"*Lo-Fi*"})),"**L.Dre**Yasumu**",IF(SUM(COUNTIF(H19,{"*Tech*"})),"**Mau P**Gorgon City**",IF(SUM(COUNTIF(H19,{"*Indie/Chill Dance*"})),"**Felix Jaehn**Lost Frequencies**",IF(SUM(COUNTIF(H19,{"*Piano*"})),"**Avicii**Eric Prydz**",IF(SUM(COUNTIF(H19,{"*EDM*"})),"**David Guetta**Swedish House Mafia**",IF(H19="","","")))))))</f>
        <v/>
      </c>
      <c r="AJ19" s="25" t="str">
        <f t="array" aca="1" ref="AJ19" ca="1">+IFERROR(INDEX(INDIRECT((_xlfn.XLOOKUP(H19,map_country[Genre],map_country[country]))),RANK(INDIRECT((_xlfn.XLOOKUP(H19,map_country[Genre],map_country[min])),FALSE),INDIRECT((_xlfn.XLOOKUP(H19,map_country[Genre],map_country[rand]))),1)),"")</f>
        <v/>
      </c>
      <c r="AN19" s="20" t="str">
        <f>TRIM(SUBSTITUTE(SUBSTITUTE(SUBSTITUTE(A24,"&amp;",","),"feat",","),".",""))</f>
        <v/>
      </c>
      <c r="AO19" s="20" t="str">
        <f ca="1">IFERROR(_xlfn.TEXTBEFORE(AN19,","),AN19)</f>
        <v/>
      </c>
      <c r="AP19" s="20" t="str">
        <f ca="1">IFERROR(TRIM(SUBSTITUTE(SUBSTITUTE(SUBSTITUTE(SUBSTITUTE(_xlfn.TEXTAFTER(AN19,",",1),AQ19,""),AR19,""),AS19,""),",","")),"")</f>
        <v/>
      </c>
      <c r="AQ19" s="20" t="str">
        <f ca="1">IFERROR(SUBSTITUTE(SUBSTITUTE(SUBSTITUTE(_xlfn.TEXTAFTER(AN19,",",2),AR19,""),",",""),AS19,""),"")</f>
        <v/>
      </c>
      <c r="AR19" s="20" t="str">
        <f ca="1">IFERROR(SUBSTITUTE(SUBSTITUTE(_xlfn.TEXTAFTER(AN19,",",3),AS19,""),",",""),"")</f>
        <v/>
      </c>
      <c r="AS19" s="20" t="str">
        <f ca="1">IFERROR(_xlfn.TEXTAFTER(AN19,",",4),"")</f>
        <v/>
      </c>
      <c r="AV19" s="11">
        <v>3</v>
      </c>
      <c r="AW19" s="8" t="s">
        <v>54</v>
      </c>
      <c r="AX19" s="12" t="s">
        <v>149</v>
      </c>
      <c r="AY19" t="e">
        <f ca="1">+_xlfn.TEXTBEFORE(text_list[[#This Row],[Text]],"''''!",,0)</f>
        <v>#NAME?</v>
      </c>
      <c r="AZ19" t="e">
        <f ca="1">+_xlfn.TEXTBEFORE(_xlfn.TEXTAFTER(text_list[[#This Row],[Text]],"'''!"),"Label")</f>
        <v>#NAME?</v>
      </c>
      <c r="BA19" t="e">
        <f ca="1">+_xlfn.TEXTAFTER(text_list[[#This Row],[Text]],text_list[[#This Row],[Type based on genre]])</f>
        <v>#NAME?</v>
      </c>
      <c r="BB19" t="s">
        <v>42</v>
      </c>
    </row>
    <row r="20" spans="6:76" x14ac:dyDescent="0.25">
      <c r="F20" s="3"/>
      <c r="H20" s="7"/>
      <c r="O20" s="25" t="str">
        <f t="shared" si="0"/>
        <v/>
      </c>
      <c r="P20" s="25" t="str">
        <f t="shared" si="1"/>
        <v/>
      </c>
      <c r="Q20" s="25" t="str">
        <f t="shared" si="2"/>
        <v/>
      </c>
      <c r="R20" s="25" t="str">
        <f t="array" ref="R20">IF(SUM(COUNTIF(H20,{"*Deep*";"*Bass*";"*Slap*"})),"Citas:Deep House",IF(SUM(COUNTIF(H20,{"*Lo-Fi*"})),"Citas:Lo-Fi",IF(SUM(COUNTIF(H20,{"*Tech*"})),"Citas:Tech House",IF(SUM(COUNTIF(H20,{"*Indie/Chill Dance*"})),"Citas:Indie/Chill Dance",IF(SUM(COUNTIF(H20,{"*Piano*"})),"Citas:Piano House",IF(SUM(COUNTIF(H20,{"*EDM*"})),"edm dance",IF(H20="","","")))))))</f>
        <v/>
      </c>
      <c r="S20" s="25" t="str">
        <f t="array" ref="S20">IF(SUM(COUNTIF(H20,{"*Deep*";"*Bass*";"*Slap*"})),"energetic",IF(SUM(COUNTIF(H20,{"*Lo-Fi*"})),"calm",IF(SUM(COUNTIF(H20,{"*Tech*"})),"energetic",IF(SUM(COUNTIF(H20,{"*Indie/Chill Dance*"})),"chillout",IF(SUM(COUNTIF(H20,{"*Piano*"})),"energetic",IF(SUM(COUNTIF(H20,{"*EDM*"})),"energetic",IF(H20="","","")))))))</f>
        <v/>
      </c>
      <c r="T20" s="25" t="str">
        <f t="array" ref="T20">IF(SUM(COUNTIF(H20,{"*Tech*";"*EDM*";"*Indie*";"*Deep*";"*Piano*";"*Slap*";"*Brazilian Bass*"})),"Song would perfectly fit in any dance mood playlist! Label will invest up to 5000 EUR advertising on facebook and instagram ads aswell as promoting it over label and label partners playlists, radio stations and press.",IF(SUM(COUNTIF(H20,{"*Lo-Fi*"})),"Song would perfectly fit in any Lo-Fi mood playlist! Label will invest up to 5000 EUR advertising on facebook and instagram ads aswell as promoting it over label and label partners playlists, radio stations and press.",IF(H20="","","")))</f>
        <v/>
      </c>
      <c r="U20" s="25" t="str">
        <f t="shared" si="3"/>
        <v/>
      </c>
      <c r="V20" s="25" t="str">
        <f t="shared" si="4"/>
        <v/>
      </c>
      <c r="X20" s="25" t="str">
        <f t="array" aca="1" ref="X20" ca="1">+IF(H20="LO-FI","",IFERROR(INDEX(INDIRECT((_xlfn.XLOOKUP(H20,map_location[Genre],map_location[location]))),RANK(INDIRECT((_xlfn.XLOOKUP(H20,map_location[Genre],map_location[min])),FALSE),INDIRECT((_xlfn.XLOOKUP(H20,map_location[Genre],map_location[rand]))),1)),""))</f>
        <v/>
      </c>
      <c r="Y20" s="25" t="str">
        <f t="array" ref="Y20">IF(SUM(COUNTIF(H20,{"*Deep*";"*Bass*";"*Slap*"})),"**Deep House**House**Dance**",IF(SUM(COUNTIF(H20,{"*Lo-Fi*"})),"**Lo-Fi Pop**Lo-Fi Beats**Lo-Fi**",IF(SUM(COUNTIF(H20,{"*Tech*"})),"**Deep House**Tech House**Dance**",IF(SUM(COUNTIF(H20,{"*Indie/Chill Dance*"})),"**Indie Dance**Indie Electronic**Dance Pop**",IF(SUM(COUNTIF(H20,{"*Piano*"})),"**House**Electro house**Melodic House**",IF(SUM(COUNTIF(H20,{"*EDM*"})),"**EDM**Electro house**Dance Pop**",IF(H20="","","")))))))</f>
        <v/>
      </c>
      <c r="Z20" s="25" t="str">
        <f t="array" ref="Z20">IF(SUM(COUNTIF(H20,{"*Deep*";"*Bass*";"*Slap*"})),"Energetic,Happy",IF(SUM(COUNTIF(H20,{"*Lo-Fi*"})),"Romantic,Chill",IF(SUM(COUNTIF(H20,{"*Tech*"})),"Energetic,Happy",IF(SUM(COUNTIF(H20,{"*Indie/Chill Dance*"})),"Energetic,Chill",IF(SUM(COUNTIF(H20,{"*Piano*"})),"Energetic,Happy",IF(SUM(COUNTIF(H20,{"*EDM*"})),"Energetic,Happy",IF(H20="","","")))))))</f>
        <v/>
      </c>
      <c r="AA20" s="25" t="str">
        <f t="array" ref="AA20">IF(SUM(COUNTIF(H20,{"*Deep*";"*Bass*";"*Slap*"})),"None of these",IF(SUM(COUNTIF(H20,{"*Lo-Fi*"})),"Holiday,Beats",IF(SUM(COUNTIF(H20,{"*Tech*"})),"None of these",IF(SUM(COUNTIF(H20,{"*Indie/Chill Dance*"})),"None of these",IF(SUM(COUNTIF(H20,{"*Piano*"})),"None of these",IF(SUM(COUNTIF(H20,{"*EDM*"})),"None of these",IF(H20="","","")))))))</f>
        <v/>
      </c>
      <c r="AB20" s="25" t="str">
        <f t="array" ref="AB20">IF(SUM(COUNTIF(H20,{"*Deep*";"*Bass*";"*Slap*"})),"Samples,Synthesizer,Bass Guitar,Piano,Drum Kit,Electric Guitar",IF(SUM(COUNTIF(H20,{"*Lo-Fi*"})),"Samples,Synthesizer,Bass Guitar,Piano,Drum Kit,Electric Guitar",IF(SUM(COUNTIF(H20,{"*Tech*"})),"Samples,Synthesizer,Bass Guitar,Piano,Drum Kit,Electric Guitar",IF(SUM(COUNTIF(H20,{"*Indie/Chill Dance*"})),"Samples,Synthesizer,Bass Guitar,Piano,Drum Kit,Electric Guitar",IF(SUM(COUNTIF(H20,{"*Piano*"})),"Samples,Synthesizer,Bass Guitar,Piano,Drum Kit,Electric Guitar",IF(SUM(COUNTIF(H20,{"*EDM*"})),"Samples,Synthesizer,Bass Guitar,Piano,Drum Kit,Electric Guitar",IF(H20="","","")))))))</f>
        <v/>
      </c>
      <c r="AC20" s="25" t="str">
        <f t="array" ref="AC20">IF(N20="Cover","Yes",IF(SUM(COUNTIF(N20,{"*Radio/Extended*";"*Radio*";"*Remix*"})),"No",""))</f>
        <v/>
      </c>
      <c r="AD20" s="25" t="str">
        <f t="array" ref="AD20">IF(N20="Remix","Yes",IF(SUM(COUNTIF(N20,{"*Radio/Extended*";"*Radio*";"*Cover*"})),"No",""))</f>
        <v/>
      </c>
      <c r="AE20" s="25" t="str">
        <f t="shared" si="5"/>
        <v/>
      </c>
      <c r="AF20" s="25" t="str">
        <f t="array" aca="1" ref="AF20" ca="1">+TRIM(SUBSTITUTE(SUBSTITUTE(SUBSTITUTE(SUBSTITUTE(IFERROR(AO20&amp;" "&amp;+_xlfn.XLOOKUP(((SUM(LEN(AN20))-SUM(LEN(SUBSTITUTE(AN20,",",""))))/LEN(",")+1)&amp;H20,AV:AV&amp;AW:AW,AY:AY)&amp;CHAR(34)&amp;B20&amp;CHAR(34)&amp;"!"&amp;_xlfn.XLOOKUP(H20,text_list[Genre],text_list[Type based on genre]&amp;text_list[Label]),""),"Second",AP20),"Third",AQ20),"Forth",AR20),"Fifth",AS20&amp;" "))</f>
        <v/>
      </c>
      <c r="AH20" t="str">
        <f t="shared" si="9"/>
        <v/>
      </c>
      <c r="AI20" s="25" t="str">
        <f t="array" ref="AI20">IF(SUM(COUNTIF(H20,{"*Deep*";"*Bass*";"*Slap*"})),"**Tiësto**Imanbek**",IF(SUM(COUNTIF(H20,{"*Lo-Fi*"})),"**L.Dre**Yasumu**",IF(SUM(COUNTIF(H20,{"*Tech*"})),"**Mau P**Gorgon City**",IF(SUM(COUNTIF(H20,{"*Indie/Chill Dance*"})),"**Felix Jaehn**Lost Frequencies**",IF(SUM(COUNTIF(H20,{"*Piano*"})),"**Avicii**Eric Prydz**",IF(SUM(COUNTIF(H20,{"*EDM*"})),"**David Guetta**Swedish House Mafia**",IF(H20="","","")))))))</f>
        <v/>
      </c>
      <c r="AJ20" s="25" t="str">
        <f t="array" aca="1" ref="AJ20" ca="1">+IFERROR(INDEX(INDIRECT((_xlfn.XLOOKUP(H20,map_country[Genre],map_country[country]))),RANK(INDIRECT((_xlfn.XLOOKUP(H20,map_country[Genre],map_country[min])),FALSE),INDIRECT((_xlfn.XLOOKUP(H20,map_country[Genre],map_country[rand]))),1)),"")</f>
        <v/>
      </c>
      <c r="AN20" s="20" t="str">
        <f>TRIM(SUBSTITUTE(SUBSTITUTE(SUBSTITUTE(A25,"&amp;",","),"feat",","),".",""))</f>
        <v/>
      </c>
      <c r="AO20" s="20" t="str">
        <f ca="1">IFERROR(_xlfn.TEXTBEFORE(AN20,","),AN20)</f>
        <v/>
      </c>
      <c r="AP20" s="20" t="str">
        <f ca="1">IFERROR(TRIM(SUBSTITUTE(SUBSTITUTE(SUBSTITUTE(SUBSTITUTE(_xlfn.TEXTAFTER(AN20,",",1),AQ20,""),AR20,""),AS20,""),",","")),"")</f>
        <v/>
      </c>
      <c r="AQ20" s="20" t="str">
        <f ca="1">IFERROR(SUBSTITUTE(SUBSTITUTE(SUBSTITUTE(_xlfn.TEXTAFTER(AN20,",",2),AR20,""),",",""),AS20,""),"")</f>
        <v/>
      </c>
      <c r="AR20" s="20" t="str">
        <f ca="1">IFERROR(SUBSTITUTE(SUBSTITUTE(_xlfn.TEXTAFTER(AN20,",",3),AS20,""),",",""),"")</f>
        <v/>
      </c>
      <c r="AS20" s="20" t="str">
        <f ca="1">IFERROR(_xlfn.TEXTAFTER(AN20,",",4),"")</f>
        <v/>
      </c>
      <c r="AV20" s="11">
        <v>4</v>
      </c>
      <c r="AW20" s="8" t="s">
        <v>54</v>
      </c>
      <c r="AX20" s="12" t="s">
        <v>150</v>
      </c>
      <c r="AY20" t="e">
        <f ca="1">+_xlfn.TEXTBEFORE(text_list[[#This Row],[Text]],"''''!",,0)</f>
        <v>#NAME?</v>
      </c>
      <c r="AZ20" t="e">
        <f ca="1">+_xlfn.TEXTBEFORE(_xlfn.TEXTAFTER(text_list[[#This Row],[Text]],"'''!"),"Label")</f>
        <v>#NAME?</v>
      </c>
      <c r="BA20" t="e">
        <f ca="1">+_xlfn.TEXTAFTER(text_list[[#This Row],[Text]],text_list[[#This Row],[Type based on genre]])</f>
        <v>#NAME?</v>
      </c>
      <c r="BB20" t="s">
        <v>42</v>
      </c>
      <c r="BE20" t="s">
        <v>2</v>
      </c>
      <c r="BF20" t="s">
        <v>7</v>
      </c>
      <c r="BG20" t="s">
        <v>44</v>
      </c>
      <c r="BJ20" t="s">
        <v>2</v>
      </c>
      <c r="BK20" t="s">
        <v>7</v>
      </c>
      <c r="BL20" t="s">
        <v>44</v>
      </c>
      <c r="BN20" t="s">
        <v>2</v>
      </c>
      <c r="BO20" t="s">
        <v>7</v>
      </c>
      <c r="BP20" t="s">
        <v>44</v>
      </c>
      <c r="BR20" t="s">
        <v>2</v>
      </c>
      <c r="BS20" t="s">
        <v>7</v>
      </c>
      <c r="BT20" t="s">
        <v>44</v>
      </c>
      <c r="BV20" t="s">
        <v>2</v>
      </c>
      <c r="BW20" t="s">
        <v>7</v>
      </c>
      <c r="BX20" t="s">
        <v>44</v>
      </c>
    </row>
    <row r="21" spans="6:76" x14ac:dyDescent="0.25">
      <c r="F21" s="3"/>
      <c r="O21" s="25" t="str">
        <f t="shared" si="0"/>
        <v/>
      </c>
      <c r="P21" s="25" t="str">
        <f t="shared" si="1"/>
        <v/>
      </c>
      <c r="Q21" s="25" t="str">
        <f t="shared" si="2"/>
        <v/>
      </c>
      <c r="R21" s="25" t="str">
        <f t="array" ref="R21">IF(SUM(COUNTIF(H21,{"*Deep*";"*Bass*";"*Slap*"})),"Citas:Deep House",IF(SUM(COUNTIF(H21,{"*Lo-Fi*"})),"Citas:Lo-Fi",IF(SUM(COUNTIF(H21,{"*Tech*"})),"Citas:Tech House",IF(SUM(COUNTIF(H21,{"*Indie/Chill Dance*"})),"Citas:Indie/Chill Dance",IF(SUM(COUNTIF(H21,{"*Piano*"})),"Citas:Piano House",IF(SUM(COUNTIF(H21,{"*EDM*"})),"edm dance",IF(H21="","","")))))))</f>
        <v/>
      </c>
      <c r="S21" s="25" t="str">
        <f t="array" ref="S21">IF(SUM(COUNTIF(H21,{"*Deep*";"*Bass*";"*Slap*"})),"energetic",IF(SUM(COUNTIF(H21,{"*Lo-Fi*"})),"calm",IF(SUM(COUNTIF(H21,{"*Tech*"})),"energetic",IF(SUM(COUNTIF(H21,{"*Indie/Chill Dance*"})),"chillout",IF(SUM(COUNTIF(H21,{"*Piano*"})),"energetic",IF(SUM(COUNTIF(H21,{"*EDM*"})),"energetic",IF(H21="","","")))))))</f>
        <v/>
      </c>
      <c r="T21" s="25" t="str">
        <f t="array" ref="T21">IF(SUM(COUNTIF(H21,{"*Tech*";"*EDM*";"*Indie*";"*Deep*";"*Piano*";"*Slap*";"*Brazilian Bass*"})),"Song would perfectly fit in any dance mood playlist! Label will invest up to 5000 EUR advertising on facebook and instagram ads aswell as promoting it over label and label partners playlists, radio stations and press.",IF(SUM(COUNTIF(H21,{"*Lo-Fi*"})),"Song would perfectly fit in any Lo-Fi mood playlist! Label will invest up to 5000 EUR advertising on facebook and instagram ads aswell as promoting it over label and label partners playlists, radio stations and press.",IF(H21="","","")))</f>
        <v/>
      </c>
      <c r="U21" s="25" t="str">
        <f t="shared" si="3"/>
        <v/>
      </c>
      <c r="V21" s="25" t="str">
        <f t="shared" si="4"/>
        <v/>
      </c>
      <c r="X21" s="25" t="str">
        <f t="array" aca="1" ref="X21" ca="1">+IF(H21="LO-FI","",IFERROR(INDEX(INDIRECT((_xlfn.XLOOKUP(H21,map_location[Genre],map_location[location]))),RANK(INDIRECT((_xlfn.XLOOKUP(H21,map_location[Genre],map_location[min])),FALSE),INDIRECT((_xlfn.XLOOKUP(H21,map_location[Genre],map_location[rand]))),1)),""))</f>
        <v/>
      </c>
      <c r="Y21" s="25" t="str">
        <f t="array" ref="Y21">IF(SUM(COUNTIF(H21,{"*Deep*";"*Bass*";"*Slap*"})),"**Deep House**House**Dance**",IF(SUM(COUNTIF(H21,{"*Lo-Fi*"})),"**Lo-Fi Pop**Lo-Fi Beats**Lo-Fi**",IF(SUM(COUNTIF(H21,{"*Tech*"})),"**Deep House**Tech House**Dance**",IF(SUM(COUNTIF(H21,{"*Indie/Chill Dance*"})),"**Indie Dance**Indie Electronic**Dance Pop**",IF(SUM(COUNTIF(H21,{"*Piano*"})),"**House**Electro house**Melodic House**",IF(SUM(COUNTIF(H21,{"*EDM*"})),"**EDM**Electro house**Dance Pop**",IF(H21="","","")))))))</f>
        <v/>
      </c>
      <c r="Z21" s="25" t="str">
        <f t="array" ref="Z21">IF(SUM(COUNTIF(H21,{"*Deep*";"*Bass*";"*Slap*"})),"Energetic,Happy",IF(SUM(COUNTIF(H21,{"*Lo-Fi*"})),"Romantic,Chill",IF(SUM(COUNTIF(H21,{"*Tech*"})),"Energetic,Happy",IF(SUM(COUNTIF(H21,{"*Indie/Chill Dance*"})),"Energetic,Chill",IF(SUM(COUNTIF(H21,{"*Piano*"})),"Energetic,Happy",IF(SUM(COUNTIF(H21,{"*EDM*"})),"Energetic,Happy",IF(H21="","","")))))))</f>
        <v/>
      </c>
      <c r="AA21" s="25" t="str">
        <f t="array" ref="AA21">IF(SUM(COUNTIF(H21,{"*Deep*";"*Bass*";"*Slap*"})),"None of these",IF(SUM(COUNTIF(H21,{"*Lo-Fi*"})),"Holiday,Beats",IF(SUM(COUNTIF(H21,{"*Tech*"})),"None of these",IF(SUM(COUNTIF(H21,{"*Indie/Chill Dance*"})),"None of these",IF(SUM(COUNTIF(H21,{"*Piano*"})),"None of these",IF(SUM(COUNTIF(H21,{"*EDM*"})),"None of these",IF(H21="","","")))))))</f>
        <v/>
      </c>
      <c r="AB21" s="25" t="str">
        <f t="array" ref="AB21">IF(SUM(COUNTIF(H21,{"*Deep*";"*Bass*";"*Slap*"})),"Samples,Synthesizer,Bass Guitar,Piano,Drum Kit,Electric Guitar",IF(SUM(COUNTIF(H21,{"*Lo-Fi*"})),"Samples,Synthesizer,Bass Guitar,Piano,Drum Kit,Electric Guitar",IF(SUM(COUNTIF(H21,{"*Tech*"})),"Samples,Synthesizer,Bass Guitar,Piano,Drum Kit,Electric Guitar",IF(SUM(COUNTIF(H21,{"*Indie/Chill Dance*"})),"Samples,Synthesizer,Bass Guitar,Piano,Drum Kit,Electric Guitar",IF(SUM(COUNTIF(H21,{"*Piano*"})),"Samples,Synthesizer,Bass Guitar,Piano,Drum Kit,Electric Guitar",IF(SUM(COUNTIF(H21,{"*EDM*"})),"Samples,Synthesizer,Bass Guitar,Piano,Drum Kit,Electric Guitar",IF(H21="","","")))))))</f>
        <v/>
      </c>
      <c r="AC21" s="25" t="str">
        <f t="array" ref="AC21">IF(N21="Cover","Yes",IF(SUM(COUNTIF(N21,{"*Radio/Extended*";"*Radio*";"*Remix*"})),"No",""))</f>
        <v/>
      </c>
      <c r="AD21" s="25" t="str">
        <f t="array" ref="AD21">IF(N21="Remix","Yes",IF(SUM(COUNTIF(N21,{"*Radio/Extended*";"*Radio*";"*Cover*"})),"No",""))</f>
        <v/>
      </c>
      <c r="AE21" s="25" t="str">
        <f t="shared" si="5"/>
        <v/>
      </c>
      <c r="AF21" s="25" t="str">
        <f t="array" aca="1" ref="AF21" ca="1">+TRIM(SUBSTITUTE(SUBSTITUTE(SUBSTITUTE(SUBSTITUTE(IFERROR(AO21&amp;" "&amp;+_xlfn.XLOOKUP(((SUM(LEN(AN21))-SUM(LEN(SUBSTITUTE(AN21,",",""))))/LEN(",")+1)&amp;H21,AV:AV&amp;AW:AW,AY:AY)&amp;CHAR(34)&amp;B21&amp;CHAR(34)&amp;"!"&amp;_xlfn.XLOOKUP(H21,text_list[Genre],text_list[Type based on genre]&amp;text_list[Label]),""),"Second",AP21),"Third",AQ21),"Forth",AR21),"Fifth",AS21&amp;" "))</f>
        <v/>
      </c>
      <c r="AH21" t="str">
        <f t="shared" si="9"/>
        <v/>
      </c>
      <c r="AI21" s="25" t="str">
        <f t="array" ref="AI21">IF(SUM(COUNTIF(H21,{"*Deep*";"*Bass*";"*Slap*"})),"**Tiësto**Imanbek**",IF(SUM(COUNTIF(H21,{"*Lo-Fi*"})),"**L.Dre**Yasumu**",IF(SUM(COUNTIF(H21,{"*Tech*"})),"**Mau P**Gorgon City**",IF(SUM(COUNTIF(H21,{"*Indie/Chill Dance*"})),"**Felix Jaehn**Lost Frequencies**",IF(SUM(COUNTIF(H21,{"*Piano*"})),"**Avicii**Eric Prydz**",IF(SUM(COUNTIF(H21,{"*EDM*"})),"**David Guetta**Swedish House Mafia**",IF(H21="","","")))))))</f>
        <v/>
      </c>
      <c r="AJ21" s="25" t="str">
        <f t="array" aca="1" ref="AJ21" ca="1">+IFERROR(INDEX(INDIRECT((_xlfn.XLOOKUP(H21,map_country[Genre],map_country[country]))),RANK(INDIRECT((_xlfn.XLOOKUP(H21,map_country[Genre],map_country[min])),FALSE),INDIRECT((_xlfn.XLOOKUP(H21,map_country[Genre],map_country[rand]))),1)),"")</f>
        <v/>
      </c>
      <c r="AN21" s="20" t="str">
        <f>TRIM(SUBSTITUTE(SUBSTITUTE(SUBSTITUTE(A26,"&amp;",","),"feat",","),".",""))</f>
        <v/>
      </c>
      <c r="AO21" s="20" t="str">
        <f ca="1">IFERROR(_xlfn.TEXTBEFORE(AN21,","),AN21)</f>
        <v/>
      </c>
      <c r="AP21" s="20" t="str">
        <f ca="1">IFERROR(TRIM(SUBSTITUTE(SUBSTITUTE(SUBSTITUTE(SUBSTITUTE(_xlfn.TEXTAFTER(AN21,",",1),AQ21,""),AR21,""),AS21,""),",","")),"")</f>
        <v/>
      </c>
      <c r="AQ21" s="20" t="str">
        <f ca="1">IFERROR(SUBSTITUTE(SUBSTITUTE(SUBSTITUTE(_xlfn.TEXTAFTER(AN21,",",2),AR21,""),",",""),AS21,""),"")</f>
        <v/>
      </c>
      <c r="AR21" s="20" t="str">
        <f ca="1">IFERROR(SUBSTITUTE(SUBSTITUTE(_xlfn.TEXTAFTER(AN21,",",3),AS21,""),",",""),"")</f>
        <v/>
      </c>
      <c r="AS21" s="20" t="str">
        <f ca="1">IFERROR(_xlfn.TEXTAFTER(AN21,",",4),"")</f>
        <v/>
      </c>
      <c r="AV21" s="11">
        <v>5</v>
      </c>
      <c r="AW21" s="8" t="s">
        <v>54</v>
      </c>
      <c r="AX21" s="12" t="s">
        <v>151</v>
      </c>
      <c r="AY21" t="e">
        <f ca="1">+_xlfn.TEXTBEFORE(text_list[[#This Row],[Text]],"''''!",,0)</f>
        <v>#NAME?</v>
      </c>
      <c r="AZ21" t="e">
        <f ca="1">+_xlfn.TEXTBEFORE(_xlfn.TEXTAFTER(text_list[[#This Row],[Text]],"'''!"),"Label")</f>
        <v>#NAME?</v>
      </c>
      <c r="BA21" t="e">
        <f ca="1">+_xlfn.TEXTAFTER(text_list[[#This Row],[Text]],text_list[[#This Row],[Type based on genre]])</f>
        <v>#NAME?</v>
      </c>
      <c r="BB21" t="s">
        <v>42</v>
      </c>
      <c r="BE21" t="s">
        <v>152</v>
      </c>
      <c r="BF21" t="s">
        <v>36</v>
      </c>
      <c r="BG21">
        <f t="shared" ref="BG21:BG31" ca="1" si="10">+RAND()</f>
        <v>0.6963743697975493</v>
      </c>
      <c r="BJ21" t="s">
        <v>152</v>
      </c>
      <c r="BK21" t="s">
        <v>50</v>
      </c>
      <c r="BL21">
        <f t="shared" ref="BL21:BL31" ca="1" si="11">+RAND()</f>
        <v>0.22236710992091413</v>
      </c>
      <c r="BN21" t="s">
        <v>152</v>
      </c>
      <c r="BO21" t="s">
        <v>52</v>
      </c>
      <c r="BP21">
        <f t="shared" ref="BP21:BP31" ca="1" si="12">+RAND()</f>
        <v>0.76800557566236938</v>
      </c>
      <c r="BR21" t="s">
        <v>152</v>
      </c>
      <c r="BS21" t="s">
        <v>54</v>
      </c>
      <c r="BT21">
        <f t="shared" ref="BT21:BT31" ca="1" si="13">+RAND()</f>
        <v>0.60235940378226271</v>
      </c>
      <c r="BV21" t="s">
        <v>152</v>
      </c>
      <c r="BW21" t="s">
        <v>59</v>
      </c>
      <c r="BX21">
        <f t="shared" ref="BX21:BX31" ca="1" si="14">+RAND()</f>
        <v>0.78222731105481524</v>
      </c>
    </row>
    <row r="22" spans="6:76" x14ac:dyDescent="0.25">
      <c r="F22" s="3"/>
      <c r="O22" s="25" t="str">
        <f t="shared" si="0"/>
        <v/>
      </c>
      <c r="P22" s="25" t="str">
        <f t="shared" si="1"/>
        <v/>
      </c>
      <c r="Q22" s="25" t="str">
        <f t="shared" si="2"/>
        <v/>
      </c>
      <c r="R22" s="25" t="str">
        <f t="array" ref="R22">IF(SUM(COUNTIF(H22,{"*Deep*";"*Bass*";"*Slap*"})),"Citas:Deep House",IF(SUM(COUNTIF(H22,{"*Lo-Fi*"})),"Citas:Lo-Fi",IF(SUM(COUNTIF(H22,{"*Tech*"})),"Citas:Tech House",IF(SUM(COUNTIF(H22,{"*Indie/Chill Dance*"})),"Citas:Indie/Chill Dance",IF(SUM(COUNTIF(H22,{"*Piano*"})),"Citas:Piano House",IF(SUM(COUNTIF(H22,{"*EDM*"})),"edm dance",IF(H22="","","")))))))</f>
        <v/>
      </c>
      <c r="S22" s="25" t="str">
        <f t="array" ref="S22">IF(SUM(COUNTIF(H22,{"*Deep*";"*Bass*";"*Slap*"})),"energetic",IF(SUM(COUNTIF(H22,{"*Lo-Fi*"})),"calm",IF(SUM(COUNTIF(H22,{"*Tech*"})),"energetic",IF(SUM(COUNTIF(H22,{"*Indie/Chill Dance*"})),"chillout",IF(SUM(COUNTIF(H22,{"*Piano*"})),"energetic",IF(SUM(COUNTIF(H22,{"*EDM*"})),"energetic",IF(H22="","","")))))))</f>
        <v/>
      </c>
      <c r="T22" s="25" t="str">
        <f t="array" ref="T22">IF(SUM(COUNTIF(H22,{"*Tech*";"*EDM*";"*Indie*";"*Deep*";"*Piano*";"*Slap*";"*Brazilian Bass*"})),"Song would perfectly fit in any dance mood playlist! Label will invest up to 5000 EUR advertising on facebook and instagram ads aswell as promoting it over label and label partners playlists, radio stations and press.",IF(SUM(COUNTIF(H22,{"*Lo-Fi*"})),"Song would perfectly fit in any Lo-Fi mood playlist! Label will invest up to 5000 EUR advertising on facebook and instagram ads aswell as promoting it over label and label partners playlists, radio stations and press.",IF(H22="","","")))</f>
        <v/>
      </c>
      <c r="U22" s="25" t="str">
        <f t="shared" si="3"/>
        <v/>
      </c>
      <c r="V22" s="25" t="str">
        <f t="shared" si="4"/>
        <v/>
      </c>
      <c r="X22" s="25" t="str">
        <f t="array" aca="1" ref="X22" ca="1">+IF(H22="LO-FI","",IFERROR(INDEX(INDIRECT((_xlfn.XLOOKUP(H22,map_location[Genre],map_location[location]))),RANK(INDIRECT((_xlfn.XLOOKUP(H22,map_location[Genre],map_location[min])),FALSE),INDIRECT((_xlfn.XLOOKUP(H22,map_location[Genre],map_location[rand]))),1)),""))</f>
        <v/>
      </c>
      <c r="Y22" s="25" t="str">
        <f t="array" ref="Y22">IF(SUM(COUNTIF(H22,{"*Deep*";"*Bass*";"*Slap*"})),"**Deep House**House**Dance**",IF(SUM(COUNTIF(H22,{"*Lo-Fi*"})),"**Lo-Fi Pop**Lo-Fi Beats**Lo-Fi**",IF(SUM(COUNTIF(H22,{"*Tech*"})),"**Deep House**Tech House**Dance**",IF(SUM(COUNTIF(H22,{"*Indie/Chill Dance*"})),"**Indie Dance**Indie Electronic**Dance Pop**",IF(SUM(COUNTIF(H22,{"*Piano*"})),"**House**Electro house**Melodic House**",IF(SUM(COUNTIF(H22,{"*EDM*"})),"**EDM**Electro house**Dance Pop**",IF(H22="","","")))))))</f>
        <v/>
      </c>
      <c r="Z22" s="25" t="str">
        <f t="array" ref="Z22">IF(SUM(COUNTIF(H22,{"*Deep*";"*Bass*";"*Slap*"})),"Energetic,Happy",IF(SUM(COUNTIF(H22,{"*Lo-Fi*"})),"Romantic,Chill",IF(SUM(COUNTIF(H22,{"*Tech*"})),"Energetic,Happy",IF(SUM(COUNTIF(H22,{"*Indie/Chill Dance*"})),"Energetic,Chill",IF(SUM(COUNTIF(H22,{"*Piano*"})),"Energetic,Happy",IF(SUM(COUNTIF(H22,{"*EDM*"})),"Energetic,Happy",IF(H22="","","")))))))</f>
        <v/>
      </c>
      <c r="AA22" s="25" t="str">
        <f t="array" ref="AA22">IF(SUM(COUNTIF(H22,{"*Deep*";"*Bass*";"*Slap*"})),"None of these",IF(SUM(COUNTIF(H22,{"*Lo-Fi*"})),"Holiday,Beats",IF(SUM(COUNTIF(H22,{"*Tech*"})),"None of these",IF(SUM(COUNTIF(H22,{"*Indie/Chill Dance*"})),"None of these",IF(SUM(COUNTIF(H22,{"*Piano*"})),"None of these",IF(SUM(COUNTIF(H22,{"*EDM*"})),"None of these",IF(H22="","","")))))))</f>
        <v/>
      </c>
      <c r="AB22" s="25" t="str">
        <f t="array" ref="AB22">IF(SUM(COUNTIF(H22,{"*Deep*";"*Bass*";"*Slap*"})),"Samples,Synthesizer,Bass Guitar,Piano,Drum Kit,Electric Guitar",IF(SUM(COUNTIF(H22,{"*Lo-Fi*"})),"Samples,Synthesizer,Bass Guitar,Piano,Drum Kit,Electric Guitar",IF(SUM(COUNTIF(H22,{"*Tech*"})),"Samples,Synthesizer,Bass Guitar,Piano,Drum Kit,Electric Guitar",IF(SUM(COUNTIF(H22,{"*Indie/Chill Dance*"})),"Samples,Synthesizer,Bass Guitar,Piano,Drum Kit,Electric Guitar",IF(SUM(COUNTIF(H22,{"*Piano*"})),"Samples,Synthesizer,Bass Guitar,Piano,Drum Kit,Electric Guitar",IF(SUM(COUNTIF(H22,{"*EDM*"})),"Samples,Synthesizer,Bass Guitar,Piano,Drum Kit,Electric Guitar",IF(H22="","","")))))))</f>
        <v/>
      </c>
      <c r="AC22" s="25" t="str">
        <f t="array" ref="AC22">IF(N22="Cover","Yes",IF(SUM(COUNTIF(N22,{"*Radio/Extended*";"*Radio*";"*Remix*"})),"No",""))</f>
        <v/>
      </c>
      <c r="AD22" s="25" t="str">
        <f t="array" ref="AD22">IF(N22="Remix","Yes",IF(SUM(COUNTIF(N22,{"*Radio/Extended*";"*Radio*";"*Cover*"})),"No",""))</f>
        <v/>
      </c>
      <c r="AE22" s="25" t="str">
        <f t="shared" si="5"/>
        <v/>
      </c>
      <c r="AF22" s="25" t="str">
        <f t="array" aca="1" ref="AF22" ca="1">+TRIM(SUBSTITUTE(SUBSTITUTE(SUBSTITUTE(SUBSTITUTE(IFERROR(AO22&amp;" "&amp;+_xlfn.XLOOKUP(((SUM(LEN(AN22))-SUM(LEN(SUBSTITUTE(AN22,",",""))))/LEN(",")+1)&amp;H22,AV:AV&amp;AW:AW,AY:AY)&amp;CHAR(34)&amp;B22&amp;CHAR(34)&amp;"!"&amp;_xlfn.XLOOKUP(H22,text_list[Genre],text_list[Type based on genre]&amp;text_list[Label]),""),"Second",AP22),"Third",AQ22),"Forth",AR22),"Fifth",AS22&amp;" "))</f>
        <v/>
      </c>
      <c r="AH22" t="str">
        <f t="shared" si="9"/>
        <v/>
      </c>
      <c r="AI22" s="25" t="str">
        <f t="array" ref="AI22">IF(SUM(COUNTIF(H22,{"*Deep*";"*Bass*";"*Slap*"})),"**Tiësto**Imanbek**",IF(SUM(COUNTIF(H22,{"*Lo-Fi*"})),"**L.Dre**Yasumu**",IF(SUM(COUNTIF(H22,{"*Tech*"})),"**Mau P**Gorgon City**",IF(SUM(COUNTIF(H22,{"*Indie/Chill Dance*"})),"**Felix Jaehn**Lost Frequencies**",IF(SUM(COUNTIF(H22,{"*Piano*"})),"**Avicii**Eric Prydz**",IF(SUM(COUNTIF(H22,{"*EDM*"})),"**David Guetta**Swedish House Mafia**",IF(H22="","","")))))))</f>
        <v/>
      </c>
      <c r="AN22" s="20" t="str">
        <f>TRIM(SUBSTITUTE(SUBSTITUTE(SUBSTITUTE(A27,"&amp;",","),"feat",","),".",""))</f>
        <v/>
      </c>
      <c r="AO22" s="20" t="str">
        <f ca="1">IFERROR(_xlfn.TEXTBEFORE(AN22,","),AN22)</f>
        <v/>
      </c>
      <c r="AP22" s="20" t="str">
        <f ca="1">IFERROR(TRIM(SUBSTITUTE(SUBSTITUTE(SUBSTITUTE(SUBSTITUTE(_xlfn.TEXTAFTER(AN22,",",1),AQ22,""),AR22,""),AS22,""),",","")),"")</f>
        <v/>
      </c>
      <c r="AQ22" s="20" t="str">
        <f ca="1">IFERROR(SUBSTITUTE(SUBSTITUTE(SUBSTITUTE(_xlfn.TEXTAFTER(AN22,",",2),AR22,""),",",""),AS22,""),"")</f>
        <v/>
      </c>
      <c r="AR22" s="20" t="str">
        <f ca="1">IFERROR(SUBSTITUTE(SUBSTITUTE(_xlfn.TEXTAFTER(AN22,",",3),AS22,""),",",""),"")</f>
        <v/>
      </c>
      <c r="AS22" s="20" t="str">
        <f ca="1">IFERROR(_xlfn.TEXTAFTER(AN22,",",4),"")</f>
        <v/>
      </c>
      <c r="AV22" s="11">
        <v>1</v>
      </c>
      <c r="AW22" s="10" t="s">
        <v>138</v>
      </c>
      <c r="AX22" s="12" t="s">
        <v>153</v>
      </c>
      <c r="AY22" t="e">
        <f ca="1">+_xlfn.TEXTBEFORE(text_list[[#This Row],[Text]],"''''!",,0)</f>
        <v>#NAME?</v>
      </c>
      <c r="AZ22" t="e">
        <f ca="1">+_xlfn.TEXTBEFORE(_xlfn.TEXTAFTER(text_list[[#This Row],[Text]],"'''!"),"Label")</f>
        <v>#NAME?</v>
      </c>
      <c r="BA22" t="e">
        <f ca="1">+_xlfn.TEXTAFTER(text_list[[#This Row],[Text]],text_list[[#This Row],[Type based on genre]])</f>
        <v>#NAME?</v>
      </c>
      <c r="BB22" t="s">
        <v>42</v>
      </c>
      <c r="BE22" t="s">
        <v>154</v>
      </c>
      <c r="BF22" t="s">
        <v>36</v>
      </c>
      <c r="BG22">
        <f t="shared" ca="1" si="10"/>
        <v>0.38784568017926169</v>
      </c>
      <c r="BJ22" t="s">
        <v>154</v>
      </c>
      <c r="BK22" t="s">
        <v>50</v>
      </c>
      <c r="BL22">
        <f t="shared" ca="1" si="11"/>
        <v>0.6611625254171295</v>
      </c>
      <c r="BN22" t="s">
        <v>154</v>
      </c>
      <c r="BO22" t="s">
        <v>52</v>
      </c>
      <c r="BP22">
        <f t="shared" ca="1" si="12"/>
        <v>0.64548985541067094</v>
      </c>
      <c r="BR22" t="s">
        <v>154</v>
      </c>
      <c r="BS22" t="s">
        <v>54</v>
      </c>
      <c r="BT22">
        <f t="shared" ca="1" si="13"/>
        <v>0.61460977527216643</v>
      </c>
      <c r="BV22" t="s">
        <v>154</v>
      </c>
      <c r="BW22" t="s">
        <v>59</v>
      </c>
      <c r="BX22">
        <f t="shared" ca="1" si="14"/>
        <v>0.3384374877479468</v>
      </c>
    </row>
    <row r="23" spans="6:76" x14ac:dyDescent="0.25">
      <c r="F23" s="3"/>
      <c r="O23" s="25" t="str">
        <f t="shared" si="0"/>
        <v/>
      </c>
      <c r="P23" s="25" t="str">
        <f t="shared" si="1"/>
        <v/>
      </c>
      <c r="Q23" s="25" t="str">
        <f t="shared" si="2"/>
        <v/>
      </c>
      <c r="R23" s="25" t="str">
        <f t="array" ref="R23">IF(SUM(COUNTIF(H23,{"*Deep*";"*Bass*";"*Slap*"})),"Citas:Deep House",IF(SUM(COUNTIF(H23,{"*Lo-Fi*"})),"Citas:Lo-Fi",IF(SUM(COUNTIF(H23,{"*Tech*"})),"Citas:Tech House",IF(SUM(COUNTIF(H23,{"*Indie/Chill Dance*"})),"Citas:Indie/Chill Dance",IF(SUM(COUNTIF(H23,{"*Piano*"})),"Citas:Piano House",IF(SUM(COUNTIF(H23,{"*EDM*"})),"edm dance",IF(H23="","","")))))))</f>
        <v/>
      </c>
      <c r="S23" s="25" t="str">
        <f t="array" ref="S23">IF(SUM(COUNTIF(H23,{"*Deep*";"*Bass*";"*Slap*"})),"energetic",IF(SUM(COUNTIF(H23,{"*Lo-Fi*"})),"calm",IF(SUM(COUNTIF(H23,{"*Tech*"})),"energetic",IF(SUM(COUNTIF(H23,{"*Indie/Chill Dance*"})),"chillout",IF(SUM(COUNTIF(H23,{"*Piano*"})),"energetic",IF(SUM(COUNTIF(H23,{"*EDM*"})),"energetic",IF(H23="","","")))))))</f>
        <v/>
      </c>
      <c r="T23" s="25" t="str">
        <f t="array" ref="T23">IF(SUM(COUNTIF(H23,{"*Tech*";"*EDM*";"*Indie*";"*Deep*";"*Piano*";"*Slap*";"*Brazilian Bass*"})),"Song would perfectly fit in any dance mood playlist! Label will invest up to 5000 EUR advertising on facebook and instagram ads aswell as promoting it over label and label partners playlists, radio stations and press.",IF(SUM(COUNTIF(H23,{"*Lo-Fi*"})),"Song would perfectly fit in any Lo-Fi mood playlist! Label will invest up to 5000 EUR advertising on facebook and instagram ads aswell as promoting it over label and label partners playlists, radio stations and press.",IF(H23="","","")))</f>
        <v/>
      </c>
      <c r="U23" s="25" t="str">
        <f t="shared" si="3"/>
        <v/>
      </c>
      <c r="V23" s="25" t="str">
        <f t="shared" si="4"/>
        <v/>
      </c>
      <c r="X23" s="25" t="str">
        <f t="array" aca="1" ref="X23" ca="1">+IF(H23="LO-FI","",IFERROR(INDEX(INDIRECT((_xlfn.XLOOKUP(H23,map_location[Genre],map_location[location]))),RANK(INDIRECT((_xlfn.XLOOKUP(H23,map_location[Genre],map_location[min])),FALSE),INDIRECT((_xlfn.XLOOKUP(H23,map_location[Genre],map_location[rand]))),1)),""))</f>
        <v/>
      </c>
      <c r="Y23" s="25" t="str">
        <f t="array" ref="Y23">IF(SUM(COUNTIF(H23,{"*Deep*";"*Bass*";"*Slap*"})),"**Deep House**House**Dance**",IF(SUM(COUNTIF(H23,{"*Lo-Fi*"})),"**Lo-Fi Pop**Lo-Fi Beats**Lo-Fi**",IF(SUM(COUNTIF(H23,{"*Tech*"})),"**Deep House**Tech House**Dance**",IF(SUM(COUNTIF(H23,{"*Indie/Chill Dance*"})),"**Indie Dance**Indie Electronic**Dance Pop**",IF(SUM(COUNTIF(H23,{"*Piano*"})),"**House**Electro house**Melodic House**",IF(SUM(COUNTIF(H23,{"*EDM*"})),"**EDM**Electro house**Dance Pop**",IF(H23="","","")))))))</f>
        <v/>
      </c>
      <c r="Z23" s="25" t="str">
        <f t="array" ref="Z23">IF(SUM(COUNTIF(H23,{"*Deep*";"*Bass*";"*Slap*"})),"Energetic,Happy",IF(SUM(COUNTIF(H23,{"*Lo-Fi*"})),"Romantic,Chill",IF(SUM(COUNTIF(H23,{"*Tech*"})),"Energetic,Happy",IF(SUM(COUNTIF(H23,{"*Indie/Chill Dance*"})),"Energetic,Chill",IF(SUM(COUNTIF(H23,{"*Piano*"})),"Energetic,Happy",IF(SUM(COUNTIF(H23,{"*EDM*"})),"Energetic,Happy",IF(H23="","","")))))))</f>
        <v/>
      </c>
      <c r="AA23" s="25" t="str">
        <f t="array" ref="AA23">IF(SUM(COUNTIF(H23,{"*Deep*";"*Bass*";"*Slap*"})),"None of these",IF(SUM(COUNTIF(H23,{"*Lo-Fi*"})),"Holiday,Beats",IF(SUM(COUNTIF(H23,{"*Tech*"})),"None of these",IF(SUM(COUNTIF(H23,{"*Indie/Chill Dance*"})),"None of these",IF(SUM(COUNTIF(H23,{"*Piano*"})),"None of these",IF(SUM(COUNTIF(H23,{"*EDM*"})),"None of these",IF(H23="","","")))))))</f>
        <v/>
      </c>
      <c r="AB23" s="25" t="str">
        <f t="array" ref="AB23">IF(SUM(COUNTIF(H23,{"*Deep*";"*Bass*";"*Slap*"})),"Samples,Synthesizer,Bass Guitar,Piano,Drum Kit,Electric Guitar",IF(SUM(COUNTIF(H23,{"*Lo-Fi*"})),"Samples,Synthesizer,Bass Guitar,Piano,Drum Kit,Electric Guitar",IF(SUM(COUNTIF(H23,{"*Tech*"})),"Samples,Synthesizer,Bass Guitar,Piano,Drum Kit,Electric Guitar",IF(SUM(COUNTIF(H23,{"*Indie/Chill Dance*"})),"Samples,Synthesizer,Bass Guitar,Piano,Drum Kit,Electric Guitar",IF(SUM(COUNTIF(H23,{"*Piano*"})),"Samples,Synthesizer,Bass Guitar,Piano,Drum Kit,Electric Guitar",IF(SUM(COUNTIF(H23,{"*EDM*"})),"Samples,Synthesizer,Bass Guitar,Piano,Drum Kit,Electric Guitar",IF(H23="","","")))))))</f>
        <v/>
      </c>
      <c r="AC23" s="25" t="str">
        <f t="array" ref="AC23">IF(N23="Cover","Yes",IF(SUM(COUNTIF(N23,{"*Radio/Extended*";"*Radio*";"*Remix*"})),"No",""))</f>
        <v/>
      </c>
      <c r="AD23" s="25" t="str">
        <f t="array" ref="AD23">IF(N23="Remix","Yes",IF(SUM(COUNTIF(N23,{"*Radio/Extended*";"*Radio*";"*Cover*"})),"No",""))</f>
        <v/>
      </c>
      <c r="AE23" s="25" t="str">
        <f t="shared" si="5"/>
        <v/>
      </c>
      <c r="AF23" s="25" t="str">
        <f t="array" aca="1" ref="AF23" ca="1">+TRIM(SUBSTITUTE(SUBSTITUTE(SUBSTITUTE(SUBSTITUTE(IFERROR(AO23&amp;" "&amp;+_xlfn.XLOOKUP(((SUM(LEN(AN23))-SUM(LEN(SUBSTITUTE(AN23,",",""))))/LEN(",")+1)&amp;H23,AV:AV&amp;AW:AW,AY:AY)&amp;CHAR(34)&amp;B23&amp;CHAR(34)&amp;"!"&amp;_xlfn.XLOOKUP(H23,text_list[Genre],text_list[Type based on genre]&amp;text_list[Label]),""),"Second",AP23),"Third",AQ23),"Forth",AR23),"Fifth",AS23&amp;" "))</f>
        <v/>
      </c>
      <c r="AH23" t="str">
        <f t="shared" si="9"/>
        <v/>
      </c>
      <c r="AI23" s="25" t="str">
        <f t="array" ref="AI23">IF(SUM(COUNTIF(H23,{"*Deep*";"*Bass*";"*Slap*"})),"**Tiësto**Imanbek**",IF(SUM(COUNTIF(H23,{"*Lo-Fi*"})),"**L.Dre**Yasumu**",IF(SUM(COUNTIF(H23,{"*Tech*"})),"**Mau P**Gorgon City**",IF(SUM(COUNTIF(H23,{"*Indie/Chill Dance*"})),"**Felix Jaehn**Lost Frequencies**",IF(SUM(COUNTIF(H23,{"*Piano*"})),"**Avicii**Eric Prydz**",IF(SUM(COUNTIF(H23,{"*EDM*"})),"**David Guetta**Swedish House Mafia**",IF(H23="","","")))))))</f>
        <v/>
      </c>
      <c r="AN23" s="20" t="str">
        <f>TRIM(SUBSTITUTE(SUBSTITUTE(SUBSTITUTE(A28,"&amp;",","),"feat",","),".",""))</f>
        <v/>
      </c>
      <c r="AO23" s="20" t="str">
        <f ca="1">IFERROR(_xlfn.TEXTBEFORE(AN23,","),AN23)</f>
        <v/>
      </c>
      <c r="AP23" s="20" t="str">
        <f ca="1">IFERROR(TRIM(SUBSTITUTE(SUBSTITUTE(SUBSTITUTE(SUBSTITUTE(_xlfn.TEXTAFTER(AN23,",",1),AQ23,""),AR23,""),AS23,""),",","")),"")</f>
        <v/>
      </c>
      <c r="AQ23" s="20" t="str">
        <f ca="1">IFERROR(SUBSTITUTE(SUBSTITUTE(SUBSTITUTE(_xlfn.TEXTAFTER(AN23,",",2),AR23,""),",",""),AS23,""),"")</f>
        <v/>
      </c>
      <c r="AR23" s="20" t="str">
        <f ca="1">IFERROR(SUBSTITUTE(SUBSTITUTE(_xlfn.TEXTAFTER(AN23,",",3),AS23,""),",",""),"")</f>
        <v/>
      </c>
      <c r="AS23" s="20" t="str">
        <f ca="1">IFERROR(_xlfn.TEXTAFTER(AN23,",",4),"")</f>
        <v/>
      </c>
      <c r="AV23" s="11">
        <v>2</v>
      </c>
      <c r="AW23" s="10" t="s">
        <v>138</v>
      </c>
      <c r="AX23" s="12" t="s">
        <v>155</v>
      </c>
      <c r="AY23" t="e">
        <f ca="1">+_xlfn.TEXTBEFORE(text_list[[#This Row],[Text]],"''''!",,0)</f>
        <v>#NAME?</v>
      </c>
      <c r="AZ23" t="e">
        <f ca="1">+_xlfn.TEXTBEFORE(_xlfn.TEXTAFTER(text_list[[#This Row],[Text]],"'''!"),"Label")</f>
        <v>#NAME?</v>
      </c>
      <c r="BA23" t="e">
        <f ca="1">+_xlfn.TEXTAFTER(text_list[[#This Row],[Text]],text_list[[#This Row],[Type based on genre]])</f>
        <v>#NAME?</v>
      </c>
      <c r="BB23" t="s">
        <v>42</v>
      </c>
      <c r="BE23" t="s">
        <v>156</v>
      </c>
      <c r="BF23" t="s">
        <v>36</v>
      </c>
      <c r="BG23">
        <f t="shared" ca="1" si="10"/>
        <v>0.93763731987558485</v>
      </c>
      <c r="BJ23" t="s">
        <v>156</v>
      </c>
      <c r="BK23" t="s">
        <v>50</v>
      </c>
      <c r="BL23">
        <f t="shared" ca="1" si="11"/>
        <v>0.1526032036795163</v>
      </c>
      <c r="BN23" t="s">
        <v>156</v>
      </c>
      <c r="BO23" t="s">
        <v>52</v>
      </c>
      <c r="BP23">
        <f t="shared" ca="1" si="12"/>
        <v>0.61240454610990047</v>
      </c>
      <c r="BR23" t="s">
        <v>156</v>
      </c>
      <c r="BS23" t="s">
        <v>54</v>
      </c>
      <c r="BT23">
        <f t="shared" ca="1" si="13"/>
        <v>7.7576105338476364E-2</v>
      </c>
      <c r="BV23" t="s">
        <v>156</v>
      </c>
      <c r="BW23" t="s">
        <v>59</v>
      </c>
      <c r="BX23">
        <f t="shared" ca="1" si="14"/>
        <v>0.72310852599346731</v>
      </c>
    </row>
    <row r="24" spans="6:76" x14ac:dyDescent="0.25">
      <c r="F24" s="3"/>
      <c r="O24" s="25" t="str">
        <f t="shared" si="0"/>
        <v/>
      </c>
      <c r="P24" s="25" t="str">
        <f t="shared" si="1"/>
        <v/>
      </c>
      <c r="Q24" s="25" t="str">
        <f t="shared" si="2"/>
        <v/>
      </c>
      <c r="R24" s="25" t="str">
        <f t="array" ref="R24">IF(SUM(COUNTIF(H24,{"*Deep*";"*Bass*";"*Slap*"})),"Citas:Deep House",IF(SUM(COUNTIF(H24,{"*Lo-Fi*"})),"Citas:Lo-Fi",IF(SUM(COUNTIF(H24,{"*Tech*"})),"Citas:Tech House",IF(SUM(COUNTIF(H24,{"*Indie/Chill Dance*"})),"Citas:Indie/Chill Dance",IF(SUM(COUNTIF(H24,{"*Piano*"})),"Citas:Piano House",IF(SUM(COUNTIF(H24,{"*EDM*"})),"edm dance",IF(H24="","","")))))))</f>
        <v/>
      </c>
      <c r="S24" s="25" t="str">
        <f t="array" ref="S24">IF(SUM(COUNTIF(H24,{"*Deep*";"*Bass*";"*Slap*"})),"energetic",IF(SUM(COUNTIF(H24,{"*Lo-Fi*"})),"calm",IF(SUM(COUNTIF(H24,{"*Tech*"})),"energetic",IF(SUM(COUNTIF(H24,{"*Indie/Chill Dance*"})),"chillout",IF(SUM(COUNTIF(H24,{"*Piano*"})),"energetic",IF(SUM(COUNTIF(H24,{"*EDM*"})),"energetic",IF(H24="","","")))))))</f>
        <v/>
      </c>
      <c r="T24" s="25" t="str">
        <f t="array" ref="T24">IF(SUM(COUNTIF(H24,{"*Tech*";"*EDM*";"*Indie*";"*Deep*";"*Piano*";"*Slap*";"*Brazilian Bass*"})),"Song would perfectly fit in any dance mood playlist! Label will invest up to 5000 EUR advertising on facebook and instagram ads aswell as promoting it over label and label partners playlists, radio stations and press.",IF(SUM(COUNTIF(H24,{"*Lo-Fi*"})),"Song would perfectly fit in any Lo-Fi mood playlist! Label will invest up to 5000 EUR advertising on facebook and instagram ads aswell as promoting it over label and label partners playlists, radio stations and press.",IF(H24="","","")))</f>
        <v/>
      </c>
      <c r="U24" s="25" t="str">
        <f t="shared" si="3"/>
        <v/>
      </c>
      <c r="V24" s="25" t="str">
        <f t="shared" si="4"/>
        <v/>
      </c>
      <c r="X24" s="25" t="str">
        <f t="array" aca="1" ref="X24" ca="1">+IF(H24="LO-FI","",IFERROR(INDEX(INDIRECT((_xlfn.XLOOKUP(H24,map_location[Genre],map_location[location]))),RANK(INDIRECT((_xlfn.XLOOKUP(H24,map_location[Genre],map_location[min])),FALSE),INDIRECT((_xlfn.XLOOKUP(H24,map_location[Genre],map_location[rand]))),1)),""))</f>
        <v/>
      </c>
      <c r="Y24" s="25" t="str">
        <f t="array" ref="Y24">IF(SUM(COUNTIF(H24,{"*Deep*";"*Bass*";"*Slap*"})),"**Deep House**House**Dance**",IF(SUM(COUNTIF(H24,{"*Lo-Fi*"})),"**Lo-Fi Pop**Lo-Fi Beats**Lo-Fi**",IF(SUM(COUNTIF(H24,{"*Tech*"})),"**Deep House**Tech House**Dance**",IF(SUM(COUNTIF(H24,{"*Indie/Chill Dance*"})),"**Indie Dance**Indie Electronic**Dance Pop**",IF(SUM(COUNTIF(H24,{"*Piano*"})),"**House**Electro house**Melodic House**",IF(SUM(COUNTIF(H24,{"*EDM*"})),"**EDM**Electro house**Dance Pop**",IF(H24="","","")))))))</f>
        <v/>
      </c>
      <c r="Z24" s="25" t="str">
        <f t="array" ref="Z24">IF(SUM(COUNTIF(H24,{"*Deep*";"*Bass*";"*Slap*"})),"Energetic,Happy",IF(SUM(COUNTIF(H24,{"*Lo-Fi*"})),"Romantic,Chill",IF(SUM(COUNTIF(H24,{"*Tech*"})),"Energetic,Happy",IF(SUM(COUNTIF(H24,{"*Indie/Chill Dance*"})),"Energetic,Chill",IF(SUM(COUNTIF(H24,{"*Piano*"})),"Energetic,Happy",IF(SUM(COUNTIF(H24,{"*EDM*"})),"Energetic,Happy",IF(H24="","","")))))))</f>
        <v/>
      </c>
      <c r="AA24" s="25" t="str">
        <f t="array" ref="AA24">IF(SUM(COUNTIF(H24,{"*Deep*";"*Bass*";"*Slap*"})),"None of these",IF(SUM(COUNTIF(H24,{"*Lo-Fi*"})),"Holiday,Beats",IF(SUM(COUNTIF(H24,{"*Tech*"})),"None of these",IF(SUM(COUNTIF(H24,{"*Indie/Chill Dance*"})),"None of these",IF(SUM(COUNTIF(H24,{"*Piano*"})),"None of these",IF(SUM(COUNTIF(H24,{"*EDM*"})),"None of these",IF(H24="","","")))))))</f>
        <v/>
      </c>
      <c r="AB24" s="25" t="str">
        <f t="array" ref="AB24">IF(SUM(COUNTIF(H24,{"*Deep*";"*Bass*";"*Slap*"})),"Samples,Synthesizer,Bass Guitar,Piano,Drum Kit,Electric Guitar",IF(SUM(COUNTIF(H24,{"*Lo-Fi*"})),"Samples,Synthesizer,Bass Guitar,Piano,Drum Kit,Electric Guitar",IF(SUM(COUNTIF(H24,{"*Tech*"})),"Samples,Synthesizer,Bass Guitar,Piano,Drum Kit,Electric Guitar",IF(SUM(COUNTIF(H24,{"*Indie/Chill Dance*"})),"Samples,Synthesizer,Bass Guitar,Piano,Drum Kit,Electric Guitar",IF(SUM(COUNTIF(H24,{"*Piano*"})),"Samples,Synthesizer,Bass Guitar,Piano,Drum Kit,Electric Guitar",IF(SUM(COUNTIF(H24,{"*EDM*"})),"Samples,Synthesizer,Bass Guitar,Piano,Drum Kit,Electric Guitar",IF(H24="","","")))))))</f>
        <v/>
      </c>
      <c r="AC24" s="25" t="str">
        <f t="array" ref="AC24">IF(N24="Cover","Yes",IF(SUM(COUNTIF(N24,{"*Radio/Extended*";"*Radio*";"*Remix*"})),"No",""))</f>
        <v/>
      </c>
      <c r="AD24" s="25" t="str">
        <f t="array" ref="AD24">IF(N24="Remix","Yes",IF(SUM(COUNTIF(N24,{"*Radio/Extended*";"*Radio*";"*Cover*"})),"No",""))</f>
        <v/>
      </c>
      <c r="AE24" s="25" t="str">
        <f t="shared" si="5"/>
        <v/>
      </c>
      <c r="AF24" s="25" t="str">
        <f t="array" aca="1" ref="AF24" ca="1">+TRIM(SUBSTITUTE(SUBSTITUTE(SUBSTITUTE(SUBSTITUTE(IFERROR(AO24&amp;" "&amp;+_xlfn.XLOOKUP(((SUM(LEN(AN24))-SUM(LEN(SUBSTITUTE(AN24,",",""))))/LEN(",")+1)&amp;H24,AV:AV&amp;AW:AW,AY:AY)&amp;CHAR(34)&amp;B24&amp;CHAR(34)&amp;"!"&amp;_xlfn.XLOOKUP(H24,text_list[Genre],text_list[Type based on genre]&amp;text_list[Label]),""),"Second",AP24),"Third",AQ24),"Forth",AR24),"Fifth",AS24&amp;" "))</f>
        <v/>
      </c>
      <c r="AH24" t="str">
        <f t="shared" si="9"/>
        <v/>
      </c>
      <c r="AI24" s="25" t="str">
        <f t="array" ref="AI24">IF(SUM(COUNTIF(H24,{"*Deep*";"*Bass*";"*Slap*"})),"**Tiësto**Imanbek**",IF(SUM(COUNTIF(H24,{"*Lo-Fi*"})),"**L.Dre**Yasumu**",IF(SUM(COUNTIF(H24,{"*Tech*"})),"**Mau P**Gorgon City**",IF(SUM(COUNTIF(H24,{"*Indie/Chill Dance*"})),"**Felix Jaehn**Lost Frequencies**",IF(SUM(COUNTIF(H24,{"*Piano*"})),"**Avicii**Eric Prydz**",IF(SUM(COUNTIF(H24,{"*EDM*"})),"**David Guetta**Swedish House Mafia**",IF(H24="","","")))))))</f>
        <v/>
      </c>
      <c r="AN24" s="20" t="str">
        <f>TRIM(SUBSTITUTE(SUBSTITUTE(SUBSTITUTE(A29,"&amp;",","),"feat",","),".",""))</f>
        <v/>
      </c>
      <c r="AO24" s="20" t="str">
        <f ca="1">IFERROR(_xlfn.TEXTBEFORE(AN24,","),AN24)</f>
        <v/>
      </c>
      <c r="AP24" s="20" t="str">
        <f ca="1">IFERROR(TRIM(SUBSTITUTE(SUBSTITUTE(SUBSTITUTE(SUBSTITUTE(_xlfn.TEXTAFTER(AN24,",",1),AQ24,""),AR24,""),AS24,""),",","")),"")</f>
        <v/>
      </c>
      <c r="AQ24" s="20" t="str">
        <f ca="1">IFERROR(SUBSTITUTE(SUBSTITUTE(SUBSTITUTE(_xlfn.TEXTAFTER(AN24,",",2),AR24,""),",",""),AS24,""),"")</f>
        <v/>
      </c>
      <c r="AR24" s="20" t="str">
        <f ca="1">IFERROR(SUBSTITUTE(SUBSTITUTE(_xlfn.TEXTAFTER(AN24,",",3),AS24,""),",",""),"")</f>
        <v/>
      </c>
      <c r="AS24" s="20" t="str">
        <f ca="1">IFERROR(_xlfn.TEXTAFTER(AN24,",",4),"")</f>
        <v/>
      </c>
      <c r="AV24" s="11">
        <v>3</v>
      </c>
      <c r="AW24" s="10" t="s">
        <v>138</v>
      </c>
      <c r="AX24" s="12" t="s">
        <v>157</v>
      </c>
      <c r="AY24" t="e">
        <f ca="1">+_xlfn.TEXTBEFORE(text_list[[#This Row],[Text]],"''''!",,0)</f>
        <v>#NAME?</v>
      </c>
      <c r="AZ24" t="e">
        <f ca="1">+_xlfn.TEXTBEFORE(_xlfn.TEXTAFTER(text_list[[#This Row],[Text]],"'''!"),"Label")</f>
        <v>#NAME?</v>
      </c>
      <c r="BA24" t="e">
        <f ca="1">+_xlfn.TEXTAFTER(text_list[[#This Row],[Text]],text_list[[#This Row],[Type based on genre]])</f>
        <v>#NAME?</v>
      </c>
      <c r="BB24" t="s">
        <v>42</v>
      </c>
      <c r="BE24" t="s">
        <v>158</v>
      </c>
      <c r="BF24" t="s">
        <v>36</v>
      </c>
      <c r="BG24">
        <f t="shared" ca="1" si="10"/>
        <v>0.81045536164165866</v>
      </c>
      <c r="BJ24" t="s">
        <v>158</v>
      </c>
      <c r="BK24" t="s">
        <v>50</v>
      </c>
      <c r="BL24">
        <f t="shared" ca="1" si="11"/>
        <v>0.20328455127675538</v>
      </c>
      <c r="BN24" t="s">
        <v>158</v>
      </c>
      <c r="BO24" t="s">
        <v>52</v>
      </c>
      <c r="BP24">
        <f t="shared" ca="1" si="12"/>
        <v>0.11965126711946461</v>
      </c>
      <c r="BR24" t="s">
        <v>158</v>
      </c>
      <c r="BS24" t="s">
        <v>54</v>
      </c>
      <c r="BT24">
        <f t="shared" ca="1" si="13"/>
        <v>0.54022133010685613</v>
      </c>
      <c r="BV24" t="s">
        <v>158</v>
      </c>
      <c r="BW24" t="s">
        <v>59</v>
      </c>
      <c r="BX24">
        <f t="shared" ca="1" si="14"/>
        <v>0.27668205118967737</v>
      </c>
    </row>
    <row r="25" spans="6:76" x14ac:dyDescent="0.25">
      <c r="F25" s="3"/>
      <c r="O25" s="25" t="str">
        <f t="shared" si="0"/>
        <v/>
      </c>
      <c r="P25" s="25" t="str">
        <f t="shared" si="1"/>
        <v/>
      </c>
      <c r="Q25" s="25" t="str">
        <f t="shared" si="2"/>
        <v/>
      </c>
      <c r="R25" s="25" t="str">
        <f t="array" ref="R25">IF(SUM(COUNTIF(H25,{"*Deep*";"*Bass*";"*Slap*"})),"Citas:Deep House",IF(SUM(COUNTIF(H25,{"*Lo-Fi*"})),"Citas:Lo-Fi",IF(SUM(COUNTIF(H25,{"*Tech*"})),"Citas:Tech House",IF(SUM(COUNTIF(H25,{"*Indie/Chill Dance*"})),"Citas:Indie/Chill Dance",IF(SUM(COUNTIF(H25,{"*Piano*"})),"Citas:Piano House",IF(SUM(COUNTIF(H25,{"*EDM*"})),"edm dance",IF(H25="","","")))))))</f>
        <v/>
      </c>
      <c r="S25" s="25" t="str">
        <f t="array" ref="S25">IF(SUM(COUNTIF(H25,{"*Deep*";"*Bass*";"*Slap*"})),"energetic",IF(SUM(COUNTIF(H25,{"*Lo-Fi*"})),"calm",IF(SUM(COUNTIF(H25,{"*Tech*"})),"energetic",IF(SUM(COUNTIF(H25,{"*Indie/Chill Dance*"})),"chillout",IF(SUM(COUNTIF(H25,{"*Piano*"})),"energetic",IF(SUM(COUNTIF(H25,{"*EDM*"})),"energetic",IF(H25="","","")))))))</f>
        <v/>
      </c>
      <c r="T25" s="25" t="str">
        <f t="array" ref="T25">IF(SUM(COUNTIF(H25,{"*Tech*";"*EDM*";"*Indie*";"*Deep*";"*Piano*";"*Slap*";"*Brazilian Bass*"})),"Song would perfectly fit in any dance mood playlist! Label will invest up to 5000 EUR advertising on facebook and instagram ads aswell as promoting it over label and label partners playlists, radio stations and press.",IF(SUM(COUNTIF(H25,{"*Lo-Fi*"})),"Song would perfectly fit in any Lo-Fi mood playlist! Label will invest up to 5000 EUR advertising on facebook and instagram ads aswell as promoting it over label and label partners playlists, radio stations and press.",IF(H25="","","")))</f>
        <v/>
      </c>
      <c r="U25" s="25" t="str">
        <f t="shared" si="3"/>
        <v/>
      </c>
      <c r="V25" s="25" t="str">
        <f t="shared" si="4"/>
        <v/>
      </c>
      <c r="X25" s="25" t="str">
        <f t="array" aca="1" ref="X25" ca="1">+IF(H25="LO-FI","",IFERROR(INDEX(INDIRECT((_xlfn.XLOOKUP(H25,map_location[Genre],map_location[location]))),RANK(INDIRECT((_xlfn.XLOOKUP(H25,map_location[Genre],map_location[min])),FALSE),INDIRECT((_xlfn.XLOOKUP(H25,map_location[Genre],map_location[rand]))),1)),""))</f>
        <v/>
      </c>
      <c r="Y25" s="25" t="str">
        <f t="array" ref="Y25">IF(SUM(COUNTIF(H25,{"*Deep*";"*Bass*";"*Slap*"})),"**Deep House**House**Dance**",IF(SUM(COUNTIF(H25,{"*Lo-Fi*"})),"**Lo-Fi Pop**Lo-Fi Beats**Lo-Fi**",IF(SUM(COUNTIF(H25,{"*Tech*"})),"**Deep House**Tech House**Dance**",IF(SUM(COUNTIF(H25,{"*Indie/Chill Dance*"})),"**Indie Dance**Indie Electronic**Dance Pop**",IF(SUM(COUNTIF(H25,{"*Piano*"})),"**House**Electro house**Melodic House**",IF(SUM(COUNTIF(H25,{"*EDM*"})),"**EDM**Electro house**Dance Pop**",IF(H25="","","")))))))</f>
        <v/>
      </c>
      <c r="Z25" s="25" t="str">
        <f t="array" ref="Z25">IF(SUM(COUNTIF(H25,{"*Deep*";"*Bass*";"*Slap*"})),"Energetic,Happy",IF(SUM(COUNTIF(H25,{"*Lo-Fi*"})),"Romantic,Chill",IF(SUM(COUNTIF(H25,{"*Tech*"})),"Energetic,Happy",IF(SUM(COUNTIF(H25,{"*Indie/Chill Dance*"})),"Energetic,Chill",IF(SUM(COUNTIF(H25,{"*Piano*"})),"Energetic,Happy",IF(SUM(COUNTIF(H25,{"*EDM*"})),"Energetic,Happy",IF(H25="","","")))))))</f>
        <v/>
      </c>
      <c r="AA25" s="25" t="str">
        <f t="array" ref="AA25">IF(SUM(COUNTIF(H25,{"*Deep*";"*Bass*";"*Slap*"})),"None of these",IF(SUM(COUNTIF(H25,{"*Lo-Fi*"})),"Holiday,Beats",IF(SUM(COUNTIF(H25,{"*Tech*"})),"None of these",IF(SUM(COUNTIF(H25,{"*Indie/Chill Dance*"})),"None of these",IF(SUM(COUNTIF(H25,{"*Piano*"})),"None of these",IF(SUM(COUNTIF(H25,{"*EDM*"})),"None of these",IF(H25="","","")))))))</f>
        <v/>
      </c>
      <c r="AB25" s="25" t="str">
        <f t="array" ref="AB25">IF(SUM(COUNTIF(H25,{"*Deep*";"*Bass*";"*Slap*"})),"Samples,Synthesizer,Bass Guitar,Piano,Drum Kit,Electric Guitar",IF(SUM(COUNTIF(H25,{"*Lo-Fi*"})),"Samples,Synthesizer,Bass Guitar,Piano,Drum Kit,Electric Guitar",IF(SUM(COUNTIF(H25,{"*Tech*"})),"Samples,Synthesizer,Bass Guitar,Piano,Drum Kit,Electric Guitar",IF(SUM(COUNTIF(H25,{"*Indie/Chill Dance*"})),"Samples,Synthesizer,Bass Guitar,Piano,Drum Kit,Electric Guitar",IF(SUM(COUNTIF(H25,{"*Piano*"})),"Samples,Synthesizer,Bass Guitar,Piano,Drum Kit,Electric Guitar",IF(SUM(COUNTIF(H25,{"*EDM*"})),"Samples,Synthesizer,Bass Guitar,Piano,Drum Kit,Electric Guitar",IF(H25="","","")))))))</f>
        <v/>
      </c>
      <c r="AC25" s="25" t="str">
        <f t="array" ref="AC25">IF(N25="Cover","Yes",IF(SUM(COUNTIF(N25,{"*Radio/Extended*";"*Radio*";"*Remix*"})),"No",""))</f>
        <v/>
      </c>
      <c r="AD25" s="25" t="str">
        <f t="array" ref="AD25">IF(N25="Remix","Yes",IF(SUM(COUNTIF(N25,{"*Radio/Extended*";"*Radio*";"*Cover*"})),"No",""))</f>
        <v/>
      </c>
      <c r="AE25" s="25" t="str">
        <f t="shared" si="5"/>
        <v/>
      </c>
      <c r="AF25" s="25" t="str">
        <f t="array" aca="1" ref="AF25" ca="1">+TRIM(SUBSTITUTE(SUBSTITUTE(SUBSTITUTE(SUBSTITUTE(IFERROR(AO25&amp;" "&amp;+_xlfn.XLOOKUP(((SUM(LEN(AN25))-SUM(LEN(SUBSTITUTE(AN25,",",""))))/LEN(",")+1)&amp;H25,AV:AV&amp;AW:AW,AY:AY)&amp;CHAR(34)&amp;B25&amp;CHAR(34)&amp;"!"&amp;_xlfn.XLOOKUP(H25,text_list[Genre],text_list[Type based on genre]&amp;text_list[Label]),""),"Second",AP25),"Third",AQ25),"Forth",AR25),"Fifth",AS25&amp;" "))</f>
        <v/>
      </c>
      <c r="AH25" t="str">
        <f t="shared" si="9"/>
        <v/>
      </c>
      <c r="AI25" s="25" t="str">
        <f t="array" ref="AI25">IF(SUM(COUNTIF(H25,{"*Deep*";"*Bass*";"*Slap*"})),"**Tiësto**Imanbek**",IF(SUM(COUNTIF(H25,{"*Lo-Fi*"})),"**L.Dre**Yasumu**",IF(SUM(COUNTIF(H25,{"*Tech*"})),"**Mau P**Gorgon City**",IF(SUM(COUNTIF(H25,{"*Indie/Chill Dance*"})),"**Felix Jaehn**Lost Frequencies**",IF(SUM(COUNTIF(H25,{"*Piano*"})),"**Avicii**Eric Prydz**",IF(SUM(COUNTIF(H25,{"*EDM*"})),"**David Guetta**Swedish House Mafia**",IF(H25="","","")))))))</f>
        <v/>
      </c>
      <c r="AN25" s="20" t="str">
        <f>TRIM(SUBSTITUTE(SUBSTITUTE(SUBSTITUTE(A30,"&amp;",","),"feat",","),".",""))</f>
        <v/>
      </c>
      <c r="AO25" s="20" t="str">
        <f ca="1">IFERROR(_xlfn.TEXTBEFORE(AN25,","),AN25)</f>
        <v/>
      </c>
      <c r="AP25" s="20" t="str">
        <f ca="1">IFERROR(TRIM(SUBSTITUTE(SUBSTITUTE(SUBSTITUTE(SUBSTITUTE(_xlfn.TEXTAFTER(AN25,",",1),AQ25,""),AR25,""),AS25,""),",","")),"")</f>
        <v/>
      </c>
      <c r="AQ25" s="20" t="str">
        <f ca="1">IFERROR(SUBSTITUTE(SUBSTITUTE(SUBSTITUTE(_xlfn.TEXTAFTER(AN25,",",2),AR25,""),",",""),AS25,""),"")</f>
        <v/>
      </c>
      <c r="AR25" s="20" t="str">
        <f ca="1">IFERROR(SUBSTITUTE(SUBSTITUTE(_xlfn.TEXTAFTER(AN25,",",3),AS25,""),",",""),"")</f>
        <v/>
      </c>
      <c r="AS25" s="20" t="str">
        <f ca="1">IFERROR(_xlfn.TEXTAFTER(AN25,",",4),"")</f>
        <v/>
      </c>
      <c r="AV25" s="11">
        <v>4</v>
      </c>
      <c r="AW25" s="10" t="s">
        <v>138</v>
      </c>
      <c r="AX25" s="12" t="s">
        <v>159</v>
      </c>
      <c r="AY25" t="e">
        <f ca="1">+_xlfn.TEXTBEFORE(text_list[[#This Row],[Text]],"''''!",,0)</f>
        <v>#NAME?</v>
      </c>
      <c r="AZ25" t="e">
        <f ca="1">+_xlfn.TEXTBEFORE(_xlfn.TEXTAFTER(text_list[[#This Row],[Text]],"'''!"),"Label")</f>
        <v>#NAME?</v>
      </c>
      <c r="BA25" t="e">
        <f ca="1">+_xlfn.TEXTAFTER(text_list[[#This Row],[Text]],text_list[[#This Row],[Type based on genre]])</f>
        <v>#NAME?</v>
      </c>
      <c r="BB25" t="s">
        <v>42</v>
      </c>
      <c r="BE25" t="s">
        <v>160</v>
      </c>
      <c r="BF25" t="s">
        <v>36</v>
      </c>
      <c r="BG25">
        <f t="shared" ca="1" si="10"/>
        <v>0.82962681986202325</v>
      </c>
      <c r="BJ25" t="s">
        <v>160</v>
      </c>
      <c r="BK25" t="s">
        <v>50</v>
      </c>
      <c r="BL25">
        <f t="shared" ca="1" si="11"/>
        <v>0.83087891850622264</v>
      </c>
      <c r="BN25" t="s">
        <v>160</v>
      </c>
      <c r="BO25" t="s">
        <v>52</v>
      </c>
      <c r="BP25">
        <f t="shared" ca="1" si="12"/>
        <v>0.74184560812417089</v>
      </c>
      <c r="BR25" t="s">
        <v>160</v>
      </c>
      <c r="BS25" t="s">
        <v>54</v>
      </c>
      <c r="BT25">
        <f t="shared" ca="1" si="13"/>
        <v>0.51010182265916426</v>
      </c>
      <c r="BV25" t="s">
        <v>160</v>
      </c>
      <c r="BW25" t="s">
        <v>59</v>
      </c>
      <c r="BX25">
        <f t="shared" ca="1" si="14"/>
        <v>1.0225654872611623E-2</v>
      </c>
    </row>
    <row r="26" spans="6:76" x14ac:dyDescent="0.25">
      <c r="F26" s="3"/>
      <c r="O26" s="25" t="str">
        <f t="shared" si="0"/>
        <v/>
      </c>
      <c r="P26" s="25" t="str">
        <f t="shared" si="1"/>
        <v/>
      </c>
      <c r="Q26" s="25" t="str">
        <f t="shared" si="2"/>
        <v/>
      </c>
      <c r="R26" s="25" t="str">
        <f t="array" ref="R26">IF(SUM(COUNTIF(H26,{"*Deep*";"*Bass*";"*Slap*"})),"Citas:Deep House",IF(SUM(COUNTIF(H26,{"*Lo-Fi*"})),"Citas:Lo-Fi",IF(SUM(COUNTIF(H26,{"*Tech*"})),"Citas:Tech House",IF(SUM(COUNTIF(H26,{"*Indie/Chill Dance*"})),"Citas:Indie/Chill Dance",IF(SUM(COUNTIF(H26,{"*Piano*"})),"Citas:Piano House",IF(SUM(COUNTIF(H26,{"*EDM*"})),"edm dance",IF(H26="","","")))))))</f>
        <v/>
      </c>
      <c r="S26" s="25" t="str">
        <f t="array" ref="S26">IF(SUM(COUNTIF(H26,{"*Deep*";"*Bass*";"*Slap*"})),"energetic",IF(SUM(COUNTIF(H26,{"*Lo-Fi*"})),"calm",IF(SUM(COUNTIF(H26,{"*Tech*"})),"energetic",IF(SUM(COUNTIF(H26,{"*Indie/Chill Dance*"})),"chillout",IF(SUM(COUNTIF(H26,{"*Piano*"})),"energetic",IF(SUM(COUNTIF(H26,{"*EDM*"})),"energetic",IF(H26="","","")))))))</f>
        <v/>
      </c>
      <c r="T26" s="25" t="str">
        <f t="array" ref="T26">IF(SUM(COUNTIF(H26,{"*Tech*";"*EDM*";"*Indie*";"*Deep*";"*Piano*";"*Slap*";"*Brazilian Bass*"})),"Song would perfectly fit in any dance mood playlist! Label will invest up to 5000 EUR advertising on facebook and instagram ads aswell as promoting it over label and label partners playlists, radio stations and press.",IF(SUM(COUNTIF(H26,{"*Lo-Fi*"})),"Song would perfectly fit in any Lo-Fi mood playlist! Label will invest up to 5000 EUR advertising on facebook and instagram ads aswell as promoting it over label and label partners playlists, radio stations and press.",IF(H26="","","")))</f>
        <v/>
      </c>
      <c r="U26" s="25" t="str">
        <f t="shared" si="3"/>
        <v/>
      </c>
      <c r="V26" s="25" t="str">
        <f t="shared" si="4"/>
        <v/>
      </c>
      <c r="X26" s="25" t="str">
        <f t="array" aca="1" ref="X26" ca="1">+IF(H26="LO-FI","",IFERROR(INDEX(INDIRECT((_xlfn.XLOOKUP(H26,map_location[Genre],map_location[location]))),RANK(INDIRECT((_xlfn.XLOOKUP(H26,map_location[Genre],map_location[min])),FALSE),INDIRECT((_xlfn.XLOOKUP(H26,map_location[Genre],map_location[rand]))),1)),""))</f>
        <v/>
      </c>
      <c r="Y26" s="25" t="str">
        <f t="array" ref="Y26">IF(SUM(COUNTIF(H26,{"*Deep*";"*Bass*";"*Slap*"})),"**Deep House**House**Dance**",IF(SUM(COUNTIF(H26,{"*Lo-Fi*"})),"**Lo-Fi Pop**Lo-Fi Beats**Lo-Fi**",IF(SUM(COUNTIF(H26,{"*Tech*"})),"**Deep House**Tech House**Dance**",IF(SUM(COUNTIF(H26,{"*Indie/Chill Dance*"})),"**Indie Dance**Indie Electronic**Dance Pop**",IF(SUM(COUNTIF(H26,{"*Piano*"})),"**House**Electro house**Melodic House**",IF(SUM(COUNTIF(H26,{"*EDM*"})),"**EDM**Electro house**Dance Pop**",IF(H26="","","")))))))</f>
        <v/>
      </c>
      <c r="Z26" s="25" t="str">
        <f t="array" ref="Z26">IF(SUM(COUNTIF(H26,{"*Deep*";"*Bass*";"*Slap*"})),"Energetic,Happy",IF(SUM(COUNTIF(H26,{"*Lo-Fi*"})),"Romantic,Chill",IF(SUM(COUNTIF(H26,{"*Tech*"})),"Energetic,Happy",IF(SUM(COUNTIF(H26,{"*Indie/Chill Dance*"})),"Energetic,Chill",IF(SUM(COUNTIF(H26,{"*Piano*"})),"Energetic,Happy",IF(SUM(COUNTIF(H26,{"*EDM*"})),"Energetic,Happy",IF(H26="","","")))))))</f>
        <v/>
      </c>
      <c r="AA26" s="25" t="str">
        <f t="array" ref="AA26">IF(SUM(COUNTIF(H26,{"*Deep*";"*Bass*";"*Slap*"})),"None of these",IF(SUM(COUNTIF(H26,{"*Lo-Fi*"})),"Holiday,Beats",IF(SUM(COUNTIF(H26,{"*Tech*"})),"None of these",IF(SUM(COUNTIF(H26,{"*Indie/Chill Dance*"})),"None of these",IF(SUM(COUNTIF(H26,{"*Piano*"})),"None of these",IF(SUM(COUNTIF(H26,{"*EDM*"})),"None of these",IF(H26="","","")))))))</f>
        <v/>
      </c>
      <c r="AB26" s="25" t="str">
        <f t="array" ref="AB26">IF(SUM(COUNTIF(H26,{"*Deep*";"*Bass*";"*Slap*"})),"Samples,Synthesizer,Bass Guitar,Piano,Drum Kit,Electric Guitar",IF(SUM(COUNTIF(H26,{"*Lo-Fi*"})),"Samples,Synthesizer,Bass Guitar,Piano,Drum Kit,Electric Guitar",IF(SUM(COUNTIF(H26,{"*Tech*"})),"Samples,Synthesizer,Bass Guitar,Piano,Drum Kit,Electric Guitar",IF(SUM(COUNTIF(H26,{"*Indie/Chill Dance*"})),"Samples,Synthesizer,Bass Guitar,Piano,Drum Kit,Electric Guitar",IF(SUM(COUNTIF(H26,{"*Piano*"})),"Samples,Synthesizer,Bass Guitar,Piano,Drum Kit,Electric Guitar",IF(SUM(COUNTIF(H26,{"*EDM*"})),"Samples,Synthesizer,Bass Guitar,Piano,Drum Kit,Electric Guitar",IF(H26="","","")))))))</f>
        <v/>
      </c>
      <c r="AD26" s="25" t="str">
        <f t="array" ref="AD26">IF(N26="Remix","Yes",IF(SUM(COUNTIF(N26,{"*Radio/Extended*";"*Radio*";"*Cover*"})),"No",""))</f>
        <v/>
      </c>
      <c r="AE26" s="25" t="str">
        <f t="shared" si="5"/>
        <v/>
      </c>
      <c r="AF26" s="25" t="str">
        <f t="array" aca="1" ref="AF26" ca="1">+TRIM(SUBSTITUTE(SUBSTITUTE(SUBSTITUTE(SUBSTITUTE(IFERROR(AO26&amp;" "&amp;+_xlfn.XLOOKUP(((SUM(LEN(AN26))-SUM(LEN(SUBSTITUTE(AN26,",",""))))/LEN(",")+1)&amp;H26,AV:AV&amp;AW:AW,AY:AY)&amp;CHAR(34)&amp;B26&amp;CHAR(34)&amp;"!"&amp;_xlfn.XLOOKUP(H26,text_list[Genre],text_list[Type based on genre]&amp;text_list[Label]),""),"Second",AP26),"Third",AQ26),"Forth",AR26),"Fifth",AS26&amp;" "))</f>
        <v/>
      </c>
      <c r="AH26" t="str">
        <f t="shared" si="9"/>
        <v/>
      </c>
      <c r="AI26" s="25" t="str">
        <f t="array" ref="AI26">IF(SUM(COUNTIF(H26,{"*Deep*";"*Bass*";"*Slap*"})),"**Tiësto**Imanbek**",IF(SUM(COUNTIF(H26,{"*Lo-Fi*"})),"**L.Dre**Yasumu**",IF(SUM(COUNTIF(H26,{"*Tech*"})),"**Mau P**Gorgon City**",IF(SUM(COUNTIF(H26,{"*Indie/Chill Dance*"})),"**Felix Jaehn**Lost Frequencies**",IF(SUM(COUNTIF(H26,{"*Piano*"})),"**Avicii**Eric Prydz**",IF(SUM(COUNTIF(H26,{"*EDM*"})),"**David Guetta**Swedish House Mafia**",IF(H26="","","")))))))</f>
        <v/>
      </c>
      <c r="AN26" s="20" t="str">
        <f>TRIM(SUBSTITUTE(SUBSTITUTE(SUBSTITUTE(A31,"&amp;",","),"feat",","),".",""))</f>
        <v/>
      </c>
      <c r="AO26" s="20" t="str">
        <f ca="1">IFERROR(_xlfn.TEXTBEFORE(AN26,","),AN26)</f>
        <v/>
      </c>
      <c r="AP26" s="20" t="str">
        <f ca="1">IFERROR(TRIM(SUBSTITUTE(SUBSTITUTE(SUBSTITUTE(SUBSTITUTE(_xlfn.TEXTAFTER(AN26,",",1),AQ26,""),AR26,""),AS26,""),",","")),"")</f>
        <v/>
      </c>
      <c r="AQ26" s="20" t="str">
        <f ca="1">IFERROR(SUBSTITUTE(SUBSTITUTE(SUBSTITUTE(_xlfn.TEXTAFTER(AN26,",",2),AR26,""),",",""),AS26,""),"")</f>
        <v/>
      </c>
      <c r="AR26" s="20" t="str">
        <f ca="1">IFERROR(SUBSTITUTE(SUBSTITUTE(_xlfn.TEXTAFTER(AN26,",",3),AS26,""),",",""),"")</f>
        <v/>
      </c>
      <c r="AS26" s="20" t="str">
        <f ca="1">IFERROR(_xlfn.TEXTAFTER(AN26,",",4),"")</f>
        <v/>
      </c>
      <c r="AV26" s="11">
        <v>5</v>
      </c>
      <c r="AW26" s="10" t="s">
        <v>138</v>
      </c>
      <c r="AX26" s="12" t="s">
        <v>161</v>
      </c>
      <c r="AY26" t="e">
        <f ca="1">+_xlfn.TEXTBEFORE(text_list[[#This Row],[Text]],"''''!",,0)</f>
        <v>#NAME?</v>
      </c>
      <c r="AZ26" t="e">
        <f ca="1">+_xlfn.TEXTBEFORE(_xlfn.TEXTAFTER(text_list[[#This Row],[Text]],"'''!"),"Label")</f>
        <v>#NAME?</v>
      </c>
      <c r="BA26" t="e">
        <f ca="1">+_xlfn.TEXTAFTER(text_list[[#This Row],[Text]],text_list[[#This Row],[Type based on genre]])</f>
        <v>#NAME?</v>
      </c>
      <c r="BB26" t="s">
        <v>42</v>
      </c>
      <c r="BE26" t="s">
        <v>162</v>
      </c>
      <c r="BF26" t="s">
        <v>36</v>
      </c>
      <c r="BG26">
        <f t="shared" ca="1" si="10"/>
        <v>0.69912106646151162</v>
      </c>
      <c r="BJ26" t="s">
        <v>162</v>
      </c>
      <c r="BK26" t="s">
        <v>50</v>
      </c>
      <c r="BL26">
        <f t="shared" ca="1" si="11"/>
        <v>0.39386703713479421</v>
      </c>
      <c r="BN26" t="s">
        <v>162</v>
      </c>
      <c r="BO26" t="s">
        <v>52</v>
      </c>
      <c r="BP26">
        <f t="shared" ca="1" si="12"/>
        <v>0.39260478817536171</v>
      </c>
      <c r="BR26" t="s">
        <v>162</v>
      </c>
      <c r="BS26" t="s">
        <v>54</v>
      </c>
      <c r="BT26">
        <f t="shared" ca="1" si="13"/>
        <v>0.86127946713883896</v>
      </c>
      <c r="BV26" t="s">
        <v>162</v>
      </c>
      <c r="BW26" t="s">
        <v>59</v>
      </c>
      <c r="BX26">
        <f t="shared" ca="1" si="14"/>
        <v>0.94092618884992929</v>
      </c>
    </row>
    <row r="27" spans="6:76" x14ac:dyDescent="0.25">
      <c r="F27" s="3"/>
      <c r="O27" s="25" t="str">
        <f t="shared" si="0"/>
        <v/>
      </c>
      <c r="P27" s="25" t="str">
        <f t="shared" si="1"/>
        <v/>
      </c>
      <c r="Q27" s="25" t="str">
        <f t="shared" si="2"/>
        <v/>
      </c>
      <c r="R27" s="25" t="str">
        <f t="array" ref="R27">IF(SUM(COUNTIF(H27,{"*Deep*";"*Bass*";"*Slap*"})),"Citas:Deep House",IF(SUM(COUNTIF(H27,{"*Lo-Fi*"})),"Citas:Lo-Fi",IF(SUM(COUNTIF(H27,{"*Tech*"})),"Citas:Tech House",IF(SUM(COUNTIF(H27,{"*Indie/Chill Dance*"})),"Citas:Indie/Chill Dance",IF(SUM(COUNTIF(H27,{"*Piano*"})),"Citas:Piano House",IF(SUM(COUNTIF(H27,{"*EDM*"})),"edm dance",IF(H27="","","")))))))</f>
        <v/>
      </c>
      <c r="S27" s="25" t="str">
        <f t="array" ref="S27">IF(SUM(COUNTIF(H27,{"*Deep*";"*Bass*";"*Slap*"})),"energetic",IF(SUM(COUNTIF(H27,{"*Lo-Fi*"})),"calm",IF(SUM(COUNTIF(H27,{"*Tech*"})),"energetic",IF(SUM(COUNTIF(H27,{"*Indie/Chill Dance*"})),"chillout",IF(SUM(COUNTIF(H27,{"*Piano*"})),"energetic",IF(SUM(COUNTIF(H27,{"*EDM*"})),"energetic",IF(H27="","","")))))))</f>
        <v/>
      </c>
      <c r="T27" s="25" t="str">
        <f t="array" ref="T27">IF(SUM(COUNTIF(H27,{"*Tech*";"*EDM*";"*Indie*";"*Deep*";"*Piano*";"*Slap*";"*Brazilian Bass*"})),"Song would perfectly fit in any dance mood playlist! Label will invest up to 5000 EUR advertising on facebook and instagram ads aswell as promoting it over label and label partners playlists, radio stations and press.",IF(SUM(COUNTIF(H27,{"*Lo-Fi*"})),"Song would perfectly fit in any Lo-Fi mood playlist! Label will invest up to 5000 EUR advertising on facebook and instagram ads aswell as promoting it over label and label partners playlists, radio stations and press.",IF(H27="","","")))</f>
        <v/>
      </c>
      <c r="U27" s="25" t="str">
        <f t="shared" si="3"/>
        <v/>
      </c>
      <c r="V27" s="25" t="str">
        <f t="shared" si="4"/>
        <v/>
      </c>
      <c r="X27" s="25" t="str">
        <f t="array" aca="1" ref="X27" ca="1">+IF(H27="LO-FI","",IFERROR(INDEX(INDIRECT((_xlfn.XLOOKUP(H27,map_location[Genre],map_location[location]))),RANK(INDIRECT((_xlfn.XLOOKUP(H27,map_location[Genre],map_location[min])),FALSE),INDIRECT((_xlfn.XLOOKUP(H27,map_location[Genre],map_location[rand]))),1)),""))</f>
        <v/>
      </c>
      <c r="Y27" s="25" t="str">
        <f t="array" ref="Y27">IF(SUM(COUNTIF(H27,{"*Deep*";"*Bass*";"*Slap*"})),"**Deep House**House**Dance**",IF(SUM(COUNTIF(H27,{"*Lo-Fi*"})),"**Lo-Fi Pop**Lo-Fi Beats**Lo-Fi**",IF(SUM(COUNTIF(H27,{"*Tech*"})),"**Deep House**Tech House**Dance**",IF(SUM(COUNTIF(H27,{"*Indie/Chill Dance*"})),"**Indie Dance**Indie Electronic**Dance Pop**",IF(SUM(COUNTIF(H27,{"*Piano*"})),"**House**Electro house**Melodic House**",IF(SUM(COUNTIF(H27,{"*EDM*"})),"**EDM**Electro house**Dance Pop**",IF(H27="","","")))))))</f>
        <v/>
      </c>
      <c r="Z27" s="25" t="str">
        <f t="array" ref="Z27">IF(SUM(COUNTIF(H27,{"*Deep*";"*Bass*";"*Slap*"})),"Energetic,Happy",IF(SUM(COUNTIF(H27,{"*Lo-Fi*"})),"Romantic,Chill",IF(SUM(COUNTIF(H27,{"*Tech*"})),"Energetic,Happy",IF(SUM(COUNTIF(H27,{"*Indie/Chill Dance*"})),"Energetic,Chill",IF(SUM(COUNTIF(H27,{"*Piano*"})),"Energetic,Happy",IF(SUM(COUNTIF(H27,{"*EDM*"})),"Energetic,Happy",IF(H27="","","")))))))</f>
        <v/>
      </c>
      <c r="AA27" s="25" t="str">
        <f t="array" ref="AA27">IF(SUM(COUNTIF(H27,{"*Deep*";"*Bass*";"*Slap*"})),"None of these",IF(SUM(COUNTIF(H27,{"*Lo-Fi*"})),"Holiday,Beats",IF(SUM(COUNTIF(H27,{"*Tech*"})),"None of these",IF(SUM(COUNTIF(H27,{"*Indie/Chill Dance*"})),"None of these",IF(SUM(COUNTIF(H27,{"*Piano*"})),"None of these",IF(SUM(COUNTIF(H27,{"*EDM*"})),"None of these",IF(H27="","","")))))))</f>
        <v/>
      </c>
      <c r="AB27" s="25" t="str">
        <f t="array" ref="AB27">IF(SUM(COUNTIF(H27,{"*Deep*";"*Bass*";"*Slap*"})),"Samples,Synthesizer,Bass Guitar,Piano,Drum Kit,Electric Guitar",IF(SUM(COUNTIF(H27,{"*Lo-Fi*"})),"Samples,Synthesizer,Bass Guitar,Piano,Drum Kit,Electric Guitar",IF(SUM(COUNTIF(H27,{"*Tech*"})),"Samples,Synthesizer,Bass Guitar,Piano,Drum Kit,Electric Guitar",IF(SUM(COUNTIF(H27,{"*Indie/Chill Dance*"})),"Samples,Synthesizer,Bass Guitar,Piano,Drum Kit,Electric Guitar",IF(SUM(COUNTIF(H27,{"*Piano*"})),"Samples,Synthesizer,Bass Guitar,Piano,Drum Kit,Electric Guitar",IF(SUM(COUNTIF(H27,{"*EDM*"})),"Samples,Synthesizer,Bass Guitar,Piano,Drum Kit,Electric Guitar",IF(H27="","","")))))))</f>
        <v/>
      </c>
      <c r="AD27" s="25" t="str">
        <f t="array" ref="AD27">IF(N27="Remix","Yes",IF(SUM(COUNTIF(N27,{"*Radio/Extended*";"*Radio*";"*Cover*"})),"No",""))</f>
        <v/>
      </c>
      <c r="AE27" s="25" t="str">
        <f t="shared" si="5"/>
        <v/>
      </c>
      <c r="AF27" s="25" t="str">
        <f t="array" aca="1" ref="AF27" ca="1">+TRIM(SUBSTITUTE(SUBSTITUTE(SUBSTITUTE(SUBSTITUTE(IFERROR(AO27&amp;" "&amp;+_xlfn.XLOOKUP(((SUM(LEN(AN27))-SUM(LEN(SUBSTITUTE(AN27,",",""))))/LEN(",")+1)&amp;H27,AV:AV&amp;AW:AW,AY:AY)&amp;CHAR(34)&amp;B27&amp;CHAR(34)&amp;"!"&amp;_xlfn.XLOOKUP(H27,text_list[Genre],text_list[Type based on genre]&amp;text_list[Label]),""),"Second",AP27),"Third",AQ27),"Forth",AR27),"Fifth",AS27&amp;" "))</f>
        <v/>
      </c>
      <c r="AH27" t="str">
        <f t="shared" si="9"/>
        <v/>
      </c>
      <c r="AI27" s="25" t="str">
        <f t="array" ref="AI27">IF(SUM(COUNTIF(H27,{"*Deep*";"*Bass*";"*Slap*"})),"**Tiësto**Imanbek**",IF(SUM(COUNTIF(H27,{"*Lo-Fi*"})),"**L.Dre**Yasumu**",IF(SUM(COUNTIF(H27,{"*Tech*"})),"**Mau P**Gorgon City**",IF(SUM(COUNTIF(H27,{"*Indie/Chill Dance*"})),"**Felix Jaehn**Lost Frequencies**",IF(SUM(COUNTIF(H27,{"*Piano*"})),"**Avicii**Eric Prydz**",IF(SUM(COUNTIF(H27,{"*EDM*"})),"**David Guetta**Swedish House Mafia**",IF(H27="","","")))))))</f>
        <v/>
      </c>
      <c r="AN27" s="20" t="str">
        <f>TRIM(SUBSTITUTE(SUBSTITUTE(SUBSTITUTE(A32,"&amp;",","),"feat",","),".",""))</f>
        <v/>
      </c>
      <c r="AO27" s="20" t="str">
        <f ca="1">IFERROR(_xlfn.TEXTBEFORE(AN27,","),AN27)</f>
        <v/>
      </c>
      <c r="AP27" s="20" t="str">
        <f ca="1">IFERROR(TRIM(SUBSTITUTE(SUBSTITUTE(SUBSTITUTE(SUBSTITUTE(_xlfn.TEXTAFTER(AN27,",",1),AQ27,""),AR27,""),AS27,""),",","")),"")</f>
        <v/>
      </c>
      <c r="AQ27" s="20" t="str">
        <f ca="1">IFERROR(SUBSTITUTE(SUBSTITUTE(SUBSTITUTE(_xlfn.TEXTAFTER(AN27,",",2),AR27,""),",",""),AS27,""),"")</f>
        <v/>
      </c>
      <c r="AR27" s="20" t="str">
        <f ca="1">IFERROR(SUBSTITUTE(SUBSTITUTE(_xlfn.TEXTAFTER(AN27,",",3),AS27,""),",",""),"")</f>
        <v/>
      </c>
      <c r="AS27" s="20" t="str">
        <f ca="1">IFERROR(_xlfn.TEXTAFTER(AN27,",",4),"")</f>
        <v/>
      </c>
      <c r="AV27" s="11">
        <v>1</v>
      </c>
      <c r="AW27" s="9" t="s">
        <v>56</v>
      </c>
      <c r="AX27" s="12" t="s">
        <v>41</v>
      </c>
      <c r="AY27" t="e">
        <f ca="1">+_xlfn.TEXTBEFORE(text_list[[#This Row],[Text]],"''''!",,0)</f>
        <v>#NAME?</v>
      </c>
      <c r="AZ27" t="e">
        <f ca="1">+_xlfn.TEXTBEFORE(_xlfn.TEXTAFTER(text_list[[#This Row],[Text]],"'''!"),"Label")</f>
        <v>#NAME?</v>
      </c>
      <c r="BA27" t="e">
        <f ca="1">+_xlfn.TEXTAFTER(text_list[[#This Row],[Text]],text_list[[#This Row],[Type based on genre]])</f>
        <v>#NAME?</v>
      </c>
      <c r="BB27" t="s">
        <v>42</v>
      </c>
      <c r="BE27" t="s">
        <v>163</v>
      </c>
      <c r="BF27" t="s">
        <v>36</v>
      </c>
      <c r="BG27">
        <f t="shared" ca="1" si="10"/>
        <v>1.5588996313030568E-2</v>
      </c>
      <c r="BJ27" t="s">
        <v>163</v>
      </c>
      <c r="BK27" t="s">
        <v>50</v>
      </c>
      <c r="BL27">
        <f t="shared" ca="1" si="11"/>
        <v>0.89663646274565978</v>
      </c>
      <c r="BN27" t="s">
        <v>163</v>
      </c>
      <c r="BO27" t="s">
        <v>52</v>
      </c>
      <c r="BP27">
        <f t="shared" ca="1" si="12"/>
        <v>0.64525352825007132</v>
      </c>
      <c r="BR27" t="s">
        <v>163</v>
      </c>
      <c r="BS27" t="s">
        <v>54</v>
      </c>
      <c r="BT27">
        <f t="shared" ca="1" si="13"/>
        <v>0.66557873186949013</v>
      </c>
      <c r="BV27" t="s">
        <v>163</v>
      </c>
      <c r="BW27" t="s">
        <v>59</v>
      </c>
      <c r="BX27">
        <f t="shared" ca="1" si="14"/>
        <v>0.56686565933804578</v>
      </c>
    </row>
    <row r="28" spans="6:76" x14ac:dyDescent="0.25">
      <c r="F28" s="3"/>
      <c r="O28" s="25" t="str">
        <f t="shared" si="0"/>
        <v/>
      </c>
      <c r="P28" s="25" t="str">
        <f t="shared" si="1"/>
        <v/>
      </c>
      <c r="Q28" s="25" t="str">
        <f t="shared" si="2"/>
        <v/>
      </c>
      <c r="R28" s="25" t="str">
        <f t="array" ref="R28">IF(SUM(COUNTIF(H28,{"*Deep*";"*Bass*";"*Slap*"})),"Citas:Deep House",IF(SUM(COUNTIF(H28,{"*Lo-Fi*"})),"Citas:Lo-Fi",IF(SUM(COUNTIF(H28,{"*Tech*"})),"Citas:Tech House",IF(SUM(COUNTIF(H28,{"*Indie/Chill Dance*"})),"Citas:Indie/Chill Dance",IF(SUM(COUNTIF(H28,{"*Piano*"})),"Citas:Piano House",IF(SUM(COUNTIF(H28,{"*EDM*"})),"edm dance",IF(H28="","","")))))))</f>
        <v/>
      </c>
      <c r="S28" s="25" t="str">
        <f t="array" ref="S28">IF(SUM(COUNTIF(H28,{"*Deep*";"*Bass*";"*Slap*"})),"energetic",IF(SUM(COUNTIF(H28,{"*Lo-Fi*"})),"calm",IF(SUM(COUNTIF(H28,{"*Tech*"})),"energetic",IF(SUM(COUNTIF(H28,{"*Indie/Chill Dance*"})),"chillout",IF(SUM(COUNTIF(H28,{"*Piano*"})),"energetic",IF(SUM(COUNTIF(H28,{"*EDM*"})),"energetic",IF(H28="","","")))))))</f>
        <v/>
      </c>
      <c r="T28" s="25" t="str">
        <f t="array" ref="T28">IF(SUM(COUNTIF(H28,{"*Tech*";"*EDM*";"*Indie*";"*Deep*";"*Piano*";"*Slap*";"*Brazilian Bass*"})),"Song would perfectly fit in any dance mood playlist! Label will invest up to 5000 EUR advertising on facebook and instagram ads aswell as promoting it over label and label partners playlists, radio stations and press.",IF(SUM(COUNTIF(H28,{"*Lo-Fi*"})),"Song would perfectly fit in any Lo-Fi mood playlist! Label will invest up to 5000 EUR advertising on facebook and instagram ads aswell as promoting it over label and label partners playlists, radio stations and press.",IF(H28="","","")))</f>
        <v/>
      </c>
      <c r="U28" s="25" t="str">
        <f t="shared" si="3"/>
        <v/>
      </c>
      <c r="V28" s="25" t="str">
        <f t="shared" si="4"/>
        <v/>
      </c>
      <c r="X28" s="25" t="str">
        <f t="array" aca="1" ref="X28" ca="1">+IF(H28="LO-FI","",IFERROR(INDEX(INDIRECT((_xlfn.XLOOKUP(H28,map_location[Genre],map_location[location]))),RANK(INDIRECT((_xlfn.XLOOKUP(H28,map_location[Genre],map_location[min])),FALSE),INDIRECT((_xlfn.XLOOKUP(H28,map_location[Genre],map_location[rand]))),1)),""))</f>
        <v/>
      </c>
      <c r="Y28" s="25" t="str">
        <f t="array" ref="Y28">IF(SUM(COUNTIF(H28,{"*Deep*";"*Bass*";"*Slap*"})),"**Deep House**House**Dance**",IF(SUM(COUNTIF(H28,{"*Lo-Fi*"})),"**Lo-Fi Pop**Lo-Fi Beats**Lo-Fi**",IF(SUM(COUNTIF(H28,{"*Tech*"})),"**Deep House**Tech House**Dance**",IF(SUM(COUNTIF(H28,{"*Indie/Chill Dance*"})),"**Indie Dance**Indie Electronic**Dance Pop**",IF(SUM(COUNTIF(H28,{"*Piano*"})),"**House**Electro house**Melodic House**",IF(SUM(COUNTIF(H28,{"*EDM*"})),"**EDM**Electro house**Dance Pop**",IF(H28="","","")))))))</f>
        <v/>
      </c>
      <c r="Z28" s="25" t="str">
        <f t="array" ref="Z28">IF(SUM(COUNTIF(H28,{"*Deep*";"*Bass*";"*Slap*"})),"Energetic,Happy",IF(SUM(COUNTIF(H28,{"*Lo-Fi*"})),"Romantic,Chill",IF(SUM(COUNTIF(H28,{"*Tech*"})),"Energetic,Happy",IF(SUM(COUNTIF(H28,{"*Indie/Chill Dance*"})),"Energetic,Chill",IF(SUM(COUNTIF(H28,{"*Piano*"})),"Energetic,Happy",IF(SUM(COUNTIF(H28,{"*EDM*"})),"Energetic,Happy",IF(H28="","","")))))))</f>
        <v/>
      </c>
      <c r="AA28" s="25" t="str">
        <f t="array" ref="AA28">IF(SUM(COUNTIF(H28,{"*Deep*";"*Bass*";"*Slap*"})),"None of these",IF(SUM(COUNTIF(H28,{"*Lo-Fi*"})),"Holiday,Beats",IF(SUM(COUNTIF(H28,{"*Tech*"})),"None of these",IF(SUM(COUNTIF(H28,{"*Indie/Chill Dance*"})),"None of these",IF(SUM(COUNTIF(H28,{"*Piano*"})),"None of these",IF(SUM(COUNTIF(H28,{"*EDM*"})),"None of these",IF(H28="","","")))))))</f>
        <v/>
      </c>
      <c r="AB28" s="25" t="str">
        <f t="array" ref="AB28">IF(SUM(COUNTIF(H28,{"*Deep*";"*Bass*";"*Slap*"})),"Samples,Synthesizer,Bass Guitar,Piano,Drum Kit,Electric Guitar",IF(SUM(COUNTIF(H28,{"*Lo-Fi*"})),"Samples,Synthesizer,Bass Guitar,Piano,Drum Kit,Electric Guitar",IF(SUM(COUNTIF(H28,{"*Tech*"})),"Samples,Synthesizer,Bass Guitar,Piano,Drum Kit,Electric Guitar",IF(SUM(COUNTIF(H28,{"*Indie/Chill Dance*"})),"Samples,Synthesizer,Bass Guitar,Piano,Drum Kit,Electric Guitar",IF(SUM(COUNTIF(H28,{"*Piano*"})),"Samples,Synthesizer,Bass Guitar,Piano,Drum Kit,Electric Guitar",IF(SUM(COUNTIF(H28,{"*EDM*"})),"Samples,Synthesizer,Bass Guitar,Piano,Drum Kit,Electric Guitar",IF(H28="","","")))))))</f>
        <v/>
      </c>
      <c r="AE28" s="25" t="str">
        <f t="shared" si="5"/>
        <v/>
      </c>
      <c r="AF28" s="25" t="str">
        <f t="array" aca="1" ref="AF28" ca="1">+TRIM(SUBSTITUTE(SUBSTITUTE(SUBSTITUTE(SUBSTITUTE(IFERROR(AO28&amp;" "&amp;+_xlfn.XLOOKUP(((SUM(LEN(AN28))-SUM(LEN(SUBSTITUTE(AN28,",",""))))/LEN(",")+1)&amp;H28,AV:AV&amp;AW:AW,AY:AY)&amp;CHAR(34)&amp;B28&amp;CHAR(34)&amp;"!"&amp;_xlfn.XLOOKUP(H28,text_list[Genre],text_list[Type based on genre]&amp;text_list[Label]),""),"Second",AP28),"Third",AQ28),"Forth",AR28),"Fifth",AS28&amp;" "))</f>
        <v/>
      </c>
      <c r="AH28" t="str">
        <f t="shared" si="9"/>
        <v/>
      </c>
      <c r="AI28" s="25" t="str">
        <f t="array" ref="AI28">IF(SUM(COUNTIF(H28,{"*Deep*";"*Bass*";"*Slap*"})),"**Tiësto**Imanbek**",IF(SUM(COUNTIF(H28,{"*Lo-Fi*"})),"**L.Dre**Yasumu**",IF(SUM(COUNTIF(H28,{"*Tech*"})),"**Mau P**Gorgon City**",IF(SUM(COUNTIF(H28,{"*Indie/Chill Dance*"})),"**Felix Jaehn**Lost Frequencies**",IF(SUM(COUNTIF(H28,{"*Piano*"})),"**Avicii**Eric Prydz**",IF(SUM(COUNTIF(H28,{"*EDM*"})),"**David Guetta**Swedish House Mafia**",IF(H28="","","")))))))</f>
        <v/>
      </c>
      <c r="AN28" s="20" t="str">
        <f>TRIM(SUBSTITUTE(SUBSTITUTE(SUBSTITUTE(A33,"&amp;",","),"feat",","),".",""))</f>
        <v/>
      </c>
      <c r="AO28" s="20" t="str">
        <f ca="1">IFERROR(_xlfn.TEXTBEFORE(AN28,","),AN28)</f>
        <v/>
      </c>
      <c r="AP28" s="20" t="str">
        <f ca="1">IFERROR(TRIM(SUBSTITUTE(SUBSTITUTE(SUBSTITUTE(SUBSTITUTE(_xlfn.TEXTAFTER(AN28,",",1),AQ28,""),AR28,""),AS28,""),",","")),"")</f>
        <v/>
      </c>
      <c r="AQ28" s="20" t="str">
        <f ca="1">IFERROR(SUBSTITUTE(SUBSTITUTE(SUBSTITUTE(_xlfn.TEXTAFTER(AN28,",",2),AR28,""),",",""),AS28,""),"")</f>
        <v/>
      </c>
      <c r="AR28" s="20" t="str">
        <f ca="1">IFERROR(SUBSTITUTE(SUBSTITUTE(_xlfn.TEXTAFTER(AN28,",",3),AS28,""),",",""),"")</f>
        <v/>
      </c>
      <c r="AS28" s="20" t="str">
        <f ca="1">IFERROR(_xlfn.TEXTAFTER(AN28,",",4),"")</f>
        <v/>
      </c>
      <c r="AV28" s="11">
        <v>2</v>
      </c>
      <c r="AW28" s="9" t="s">
        <v>56</v>
      </c>
      <c r="AX28" s="12" t="s">
        <v>47</v>
      </c>
      <c r="AY28" t="e">
        <f ca="1">+_xlfn.TEXTBEFORE(text_list[[#This Row],[Text]],"''''!",,0)</f>
        <v>#NAME?</v>
      </c>
      <c r="AZ28" t="e">
        <f ca="1">+_xlfn.TEXTBEFORE(_xlfn.TEXTAFTER(text_list[[#This Row],[Text]],"'''!"),"Label")</f>
        <v>#NAME?</v>
      </c>
      <c r="BA28" t="e">
        <f ca="1">+_xlfn.TEXTAFTER(text_list[[#This Row],[Text]],text_list[[#This Row],[Type based on genre]])</f>
        <v>#NAME?</v>
      </c>
      <c r="BB28" t="s">
        <v>42</v>
      </c>
      <c r="BE28" t="s">
        <v>164</v>
      </c>
      <c r="BF28" t="s">
        <v>36</v>
      </c>
      <c r="BG28">
        <f t="shared" ca="1" si="10"/>
        <v>0.63820234268775122</v>
      </c>
      <c r="BJ28" t="s">
        <v>164</v>
      </c>
      <c r="BK28" t="s">
        <v>50</v>
      </c>
      <c r="BL28">
        <f t="shared" ca="1" si="11"/>
        <v>9.1368711088369858E-3</v>
      </c>
      <c r="BN28" t="s">
        <v>164</v>
      </c>
      <c r="BO28" t="s">
        <v>52</v>
      </c>
      <c r="BP28">
        <f t="shared" ca="1" si="12"/>
        <v>0.59180042944647837</v>
      </c>
      <c r="BR28" t="s">
        <v>164</v>
      </c>
      <c r="BS28" t="s">
        <v>54</v>
      </c>
      <c r="BT28">
        <f t="shared" ca="1" si="13"/>
        <v>0.53018524565838121</v>
      </c>
      <c r="BV28" t="s">
        <v>164</v>
      </c>
      <c r="BW28" t="s">
        <v>59</v>
      </c>
      <c r="BX28">
        <f t="shared" ca="1" si="14"/>
        <v>0.27305695761265492</v>
      </c>
    </row>
    <row r="29" spans="6:76" x14ac:dyDescent="0.25">
      <c r="F29" s="3"/>
      <c r="O29" s="25" t="str">
        <f t="shared" si="0"/>
        <v/>
      </c>
      <c r="P29" s="25" t="str">
        <f t="shared" si="1"/>
        <v/>
      </c>
      <c r="Q29" s="25" t="str">
        <f t="shared" si="2"/>
        <v/>
      </c>
      <c r="R29" s="25" t="str">
        <f t="array" ref="R29">IF(SUM(COUNTIF(H29,{"*Deep*";"*Bass*";"*Slap*"})),"Citas:Deep House",IF(SUM(COUNTIF(H29,{"*Lo-Fi*"})),"Citas:Lo-Fi",IF(SUM(COUNTIF(H29,{"*Tech*"})),"Citas:Tech House",IF(SUM(COUNTIF(H29,{"*Indie/Chill Dance*"})),"Citas:Indie/Chill Dance",IF(SUM(COUNTIF(H29,{"*Piano*"})),"Citas:Piano House",IF(SUM(COUNTIF(H29,{"*EDM*"})),"edm dance",IF(H29="","","")))))))</f>
        <v/>
      </c>
      <c r="S29" s="25" t="str">
        <f t="array" ref="S29">IF(SUM(COUNTIF(H29,{"*Deep*";"*Bass*";"*Slap*"})),"energetic",IF(SUM(COUNTIF(H29,{"*Lo-Fi*"})),"calm",IF(SUM(COUNTIF(H29,{"*Tech*"})),"energetic",IF(SUM(COUNTIF(H29,{"*Indie/Chill Dance*"})),"chillout",IF(SUM(COUNTIF(H29,{"*Piano*"})),"energetic",IF(SUM(COUNTIF(H29,{"*EDM*"})),"energetic",IF(H29="","","")))))))</f>
        <v/>
      </c>
      <c r="T29" s="25" t="str">
        <f t="array" ref="T29">IF(SUM(COUNTIF(H29,{"*Tech*";"*EDM*";"*Indie*";"*Deep*";"*Piano*";"*Slap*";"*Brazilian Bass*"})),"Song would perfectly fit in any dance mood playlist! Label will invest up to 5000 EUR advertising on facebook and instagram ads aswell as promoting it over label and label partners playlists, radio stations and press.",IF(SUM(COUNTIF(H29,{"*Lo-Fi*"})),"Song would perfectly fit in any Lo-Fi mood playlist! Label will invest up to 5000 EUR advertising on facebook and instagram ads aswell as promoting it over label and label partners playlists, radio stations and press.",IF(H29="","","")))</f>
        <v/>
      </c>
      <c r="U29" s="25" t="str">
        <f t="shared" si="3"/>
        <v/>
      </c>
      <c r="V29" s="25" t="str">
        <f t="shared" si="4"/>
        <v/>
      </c>
      <c r="X29" s="25" t="str">
        <f t="array" aca="1" ref="X29" ca="1">+IF(H29="LO-FI","",IFERROR(INDEX(INDIRECT((_xlfn.XLOOKUP(H29,map_location[Genre],map_location[location]))),RANK(INDIRECT((_xlfn.XLOOKUP(H29,map_location[Genre],map_location[min])),FALSE),INDIRECT((_xlfn.XLOOKUP(H29,map_location[Genre],map_location[rand]))),1)),""))</f>
        <v/>
      </c>
      <c r="Y29" s="25" t="str">
        <f t="array" ref="Y29">IF(SUM(COUNTIF(H29,{"*Deep*";"*Bass*";"*Slap*"})),"**Deep House**House**Dance**",IF(SUM(COUNTIF(H29,{"*Lo-Fi*"})),"**Lo-Fi Pop**Lo-Fi Beats**Lo-Fi**",IF(SUM(COUNTIF(H29,{"*Tech*"})),"**Deep House**Tech House**Dance**",IF(SUM(COUNTIF(H29,{"*Indie/Chill Dance*"})),"**Indie Dance**Indie Electronic**Dance Pop**",IF(SUM(COUNTIF(H29,{"*Piano*"})),"**House**Electro house**Melodic House**",IF(SUM(COUNTIF(H29,{"*EDM*"})),"**EDM**Electro house**Dance Pop**",IF(H29="","","")))))))</f>
        <v/>
      </c>
      <c r="Z29" s="25" t="str">
        <f t="array" ref="Z29">IF(SUM(COUNTIF(H29,{"*Deep*";"*Bass*";"*Slap*"})),"Energetic,Happy",IF(SUM(COUNTIF(H29,{"*Lo-Fi*"})),"Romantic,Chill",IF(SUM(COUNTIF(H29,{"*Tech*"})),"Energetic,Happy",IF(SUM(COUNTIF(H29,{"*Indie/Chill Dance*"})),"Energetic,Chill",IF(SUM(COUNTIF(H29,{"*Piano*"})),"Energetic,Happy",IF(SUM(COUNTIF(H29,{"*EDM*"})),"Energetic,Happy",IF(H29="","","")))))))</f>
        <v/>
      </c>
      <c r="AA29" s="25" t="str">
        <f t="array" ref="AA29">IF(SUM(COUNTIF(H29,{"*Deep*";"*Bass*";"*Slap*"})),"None of these",IF(SUM(COUNTIF(H29,{"*Lo-Fi*"})),"Holiday,Beats",IF(SUM(COUNTIF(H29,{"*Tech*"})),"None of these",IF(SUM(COUNTIF(H29,{"*Indie/Chill Dance*"})),"None of these",IF(SUM(COUNTIF(H29,{"*Piano*"})),"None of these",IF(SUM(COUNTIF(H29,{"*EDM*"})),"None of these",IF(H29="","","")))))))</f>
        <v/>
      </c>
      <c r="AB29" s="25" t="str">
        <f t="array" ref="AB29">IF(SUM(COUNTIF(H29,{"*Deep*";"*Bass*";"*Slap*"})),"Samples,Synthesizer,Bass Guitar,Piano,Drum Kit,Electric Guitar",IF(SUM(COUNTIF(H29,{"*Lo-Fi*"})),"Samples,Synthesizer,Bass Guitar,Piano,Drum Kit,Electric Guitar",IF(SUM(COUNTIF(H29,{"*Tech*"})),"Samples,Synthesizer,Bass Guitar,Piano,Drum Kit,Electric Guitar",IF(SUM(COUNTIF(H29,{"*Indie/Chill Dance*"})),"Samples,Synthesizer,Bass Guitar,Piano,Drum Kit,Electric Guitar",IF(SUM(COUNTIF(H29,{"*Piano*"})),"Samples,Synthesizer,Bass Guitar,Piano,Drum Kit,Electric Guitar",IF(SUM(COUNTIF(H29,{"*EDM*"})),"Samples,Synthesizer,Bass Guitar,Piano,Drum Kit,Electric Guitar",IF(H29="","","")))))))</f>
        <v/>
      </c>
      <c r="AE29" s="25" t="str">
        <f t="shared" si="5"/>
        <v/>
      </c>
      <c r="AF29" s="25" t="str">
        <f t="array" aca="1" ref="AF29" ca="1">+TRIM(SUBSTITUTE(SUBSTITUTE(SUBSTITUTE(SUBSTITUTE(IFERROR(AO29&amp;" "&amp;+_xlfn.XLOOKUP(((SUM(LEN(AN29))-SUM(LEN(SUBSTITUTE(AN29,",",""))))/LEN(",")+1)&amp;H29,AV:AV&amp;AW:AW,AY:AY)&amp;CHAR(34)&amp;B29&amp;CHAR(34)&amp;"!"&amp;_xlfn.XLOOKUP(H29,text_list[Genre],text_list[Type based on genre]&amp;text_list[Label]),""),"Second",AP29),"Third",AQ29),"Forth",AR29),"Fifth",AS29&amp;" "))</f>
        <v/>
      </c>
      <c r="AH29" t="str">
        <f t="shared" si="9"/>
        <v/>
      </c>
      <c r="AI29" s="25" t="str">
        <f t="array" ref="AI29">IF(SUM(COUNTIF(H29,{"*Deep*";"*Bass*";"*Slap*"})),"**Tiësto**Imanbek**",IF(SUM(COUNTIF(H29,{"*Lo-Fi*"})),"**L.Dre**Yasumu**",IF(SUM(COUNTIF(H29,{"*Tech*"})),"**Mau P**Gorgon City**",IF(SUM(COUNTIF(H29,{"*Indie/Chill Dance*"})),"**Felix Jaehn**Lost Frequencies**",IF(SUM(COUNTIF(H29,{"*Piano*"})),"**Avicii**Eric Prydz**",IF(SUM(COUNTIF(H29,{"*EDM*"})),"**David Guetta**Swedish House Mafia**",IF(H29="","","")))))))</f>
        <v/>
      </c>
      <c r="AN29" s="20" t="str">
        <f>TRIM(SUBSTITUTE(SUBSTITUTE(SUBSTITUTE(A34,"&amp;",","),"feat",","),".",""))</f>
        <v/>
      </c>
      <c r="AO29" s="20" t="str">
        <f ca="1">IFERROR(_xlfn.TEXTBEFORE(AN29,","),AN29)</f>
        <v/>
      </c>
      <c r="AP29" s="20" t="str">
        <f ca="1">IFERROR(TRIM(SUBSTITUTE(SUBSTITUTE(SUBSTITUTE(SUBSTITUTE(_xlfn.TEXTAFTER(AN29,",",1),AQ29,""),AR29,""),AS29,""),",","")),"")</f>
        <v/>
      </c>
      <c r="AQ29" s="20" t="str">
        <f ca="1">IFERROR(SUBSTITUTE(SUBSTITUTE(SUBSTITUTE(_xlfn.TEXTAFTER(AN29,",",2),AR29,""),",",""),AS29,""),"")</f>
        <v/>
      </c>
      <c r="AR29" s="20" t="str">
        <f ca="1">IFERROR(SUBSTITUTE(SUBSTITUTE(_xlfn.TEXTAFTER(AN29,",",3),AS29,""),",",""),"")</f>
        <v/>
      </c>
      <c r="AS29" s="20" t="str">
        <f ca="1">IFERROR(_xlfn.TEXTAFTER(AN29,",",4),"")</f>
        <v/>
      </c>
      <c r="AV29" s="11">
        <v>3</v>
      </c>
      <c r="AW29" s="9" t="s">
        <v>56</v>
      </c>
      <c r="AX29" s="12" t="s">
        <v>69</v>
      </c>
      <c r="AY29" t="e">
        <f ca="1">+_xlfn.TEXTBEFORE(text_list[[#This Row],[Text]],"''''!",,0)</f>
        <v>#NAME?</v>
      </c>
      <c r="AZ29" t="e">
        <f ca="1">+_xlfn.TEXTBEFORE(_xlfn.TEXTAFTER(text_list[[#This Row],[Text]],"'''!"),"Label")</f>
        <v>#NAME?</v>
      </c>
      <c r="BA29" t="e">
        <f ca="1">+_xlfn.TEXTAFTER(text_list[[#This Row],[Text]],text_list[[#This Row],[Type based on genre]])</f>
        <v>#NAME?</v>
      </c>
      <c r="BB29" t="s">
        <v>42</v>
      </c>
      <c r="BE29" t="s">
        <v>165</v>
      </c>
      <c r="BF29" t="s">
        <v>36</v>
      </c>
      <c r="BG29">
        <f t="shared" ca="1" si="10"/>
        <v>0.97152767041463328</v>
      </c>
      <c r="BJ29" t="s">
        <v>165</v>
      </c>
      <c r="BK29" t="s">
        <v>50</v>
      </c>
      <c r="BL29">
        <f t="shared" ca="1" si="11"/>
        <v>0.88544148852900018</v>
      </c>
      <c r="BN29" t="s">
        <v>165</v>
      </c>
      <c r="BO29" t="s">
        <v>52</v>
      </c>
      <c r="BP29">
        <f t="shared" ca="1" si="12"/>
        <v>4.8026255780869831E-2</v>
      </c>
      <c r="BR29" t="s">
        <v>165</v>
      </c>
      <c r="BS29" t="s">
        <v>54</v>
      </c>
      <c r="BT29">
        <f t="shared" ca="1" si="13"/>
        <v>0.82774275002393127</v>
      </c>
      <c r="BV29" t="s">
        <v>165</v>
      </c>
      <c r="BW29" t="s">
        <v>59</v>
      </c>
      <c r="BX29">
        <f t="shared" ca="1" si="14"/>
        <v>0.73623630064795664</v>
      </c>
    </row>
    <row r="30" spans="6:76" x14ac:dyDescent="0.25">
      <c r="F30" s="3"/>
      <c r="O30" s="25" t="str">
        <f t="shared" si="0"/>
        <v/>
      </c>
      <c r="P30" s="25" t="str">
        <f t="shared" si="1"/>
        <v/>
      </c>
      <c r="Q30" s="25" t="str">
        <f t="shared" si="2"/>
        <v/>
      </c>
      <c r="R30" s="25" t="str">
        <f t="array" ref="R30">IF(SUM(COUNTIF(H30,{"*Deep*";"*Bass*";"*Slap*"})),"Citas:Deep House",IF(SUM(COUNTIF(H30,{"*Lo-Fi*"})),"Citas:Lo-Fi",IF(SUM(COUNTIF(H30,{"*Tech*"})),"Citas:Tech House",IF(SUM(COUNTIF(H30,{"*Indie/Chill Dance*"})),"Citas:Indie/Chill Dance",IF(SUM(COUNTIF(H30,{"*Piano*"})),"Citas:Piano House",IF(SUM(COUNTIF(H30,{"*EDM*"})),"edm dance",IF(H30="","","")))))))</f>
        <v/>
      </c>
      <c r="S30" s="25" t="str">
        <f t="array" ref="S30">IF(SUM(COUNTIF(H30,{"*Deep*";"*Bass*";"*Slap*"})),"energetic",IF(SUM(COUNTIF(H30,{"*Lo-Fi*"})),"calm",IF(SUM(COUNTIF(H30,{"*Tech*"})),"energetic",IF(SUM(COUNTIF(H30,{"*Indie/Chill Dance*"})),"chillout",IF(SUM(COUNTIF(H30,{"*Piano*"})),"energetic",IF(SUM(COUNTIF(H30,{"*EDM*"})),"energetic",IF(H30="","","")))))))</f>
        <v/>
      </c>
      <c r="T30" s="25" t="str">
        <f t="array" ref="T30">IF(SUM(COUNTIF(H30,{"*Tech*";"*EDM*";"*Indie*";"*Deep*";"*Piano*";"*Slap*";"*Brazilian Bass*"})),"Song would perfectly fit in any dance mood playlist! Label will invest up to 5000 EUR advertising on facebook and instagram ads aswell as promoting it over label and label partners playlists, radio stations and press.",IF(SUM(COUNTIF(H30,{"*Lo-Fi*"})),"Song would perfectly fit in any Lo-Fi mood playlist! Label will invest up to 5000 EUR advertising on facebook and instagram ads aswell as promoting it over label and label partners playlists, radio stations and press.",IF(H30="","","")))</f>
        <v/>
      </c>
      <c r="U30" s="25" t="str">
        <f t="shared" si="3"/>
        <v/>
      </c>
      <c r="V30" s="25" t="str">
        <f t="shared" si="4"/>
        <v/>
      </c>
      <c r="X30" s="25" t="str">
        <f t="array" aca="1" ref="X30" ca="1">+IF(H30="LO-FI","",IFERROR(INDEX(INDIRECT((_xlfn.XLOOKUP(H30,map_location[Genre],map_location[location]))),RANK(INDIRECT((_xlfn.XLOOKUP(H30,map_location[Genre],map_location[min])),FALSE),INDIRECT((_xlfn.XLOOKUP(H30,map_location[Genre],map_location[rand]))),1)),""))</f>
        <v/>
      </c>
      <c r="Z30" s="25" t="str">
        <f t="array" ref="Z30">IF(SUM(COUNTIF(H30,{"*Deep*";"*Bass*";"*Slap*"})),"Energetic,Happy",IF(SUM(COUNTIF(H30,{"*Lo-Fi*"})),"Romantic,Chill",IF(SUM(COUNTIF(H30,{"*Tech*"})),"Energetic,Happy",IF(SUM(COUNTIF(H30,{"*Indie/Chill Dance*"})),"Energetic,Chill",IF(SUM(COUNTIF(H30,{"*Piano*"})),"Energetic,Happy",IF(SUM(COUNTIF(H30,{"*EDM*"})),"Energetic,Happy",IF(H30="","","")))))))</f>
        <v/>
      </c>
      <c r="AA30" s="25" t="str">
        <f t="array" ref="AA30">IF(SUM(COUNTIF(H30,{"*Deep*";"*Bass*";"*Slap*"})),"None of these",IF(SUM(COUNTIF(H30,{"*Lo-Fi*"})),"Holiday,Beats",IF(SUM(COUNTIF(H30,{"*Tech*"})),"None of these",IF(SUM(COUNTIF(H30,{"*Indie/Chill Dance*"})),"None of these",IF(SUM(COUNTIF(H30,{"*Piano*"})),"None of these",IF(SUM(COUNTIF(H30,{"*EDM*"})),"None of these",IF(H30="","","")))))))</f>
        <v/>
      </c>
      <c r="AB30" s="25" t="str">
        <f t="array" ref="AB30">IF(SUM(COUNTIF(H30,{"*Deep*";"*Bass*";"*Slap*"})),"Samples,Synthesizer,Bass Guitar,Piano,Drum Kit,Electric Guitar",IF(SUM(COUNTIF(H30,{"*Lo-Fi*"})),"Samples,Synthesizer,Bass Guitar,Piano,Drum Kit,Electric Guitar",IF(SUM(COUNTIF(H30,{"*Tech*"})),"Samples,Synthesizer,Bass Guitar,Piano,Drum Kit,Electric Guitar",IF(SUM(COUNTIF(H30,{"*Indie/Chill Dance*"})),"Samples,Synthesizer,Bass Guitar,Piano,Drum Kit,Electric Guitar",IF(SUM(COUNTIF(H30,{"*Piano*"})),"Samples,Synthesizer,Bass Guitar,Piano,Drum Kit,Electric Guitar",IF(SUM(COUNTIF(H30,{"*EDM*"})),"Samples,Synthesizer,Bass Guitar,Piano,Drum Kit,Electric Guitar",IF(H30="","","")))))))</f>
        <v/>
      </c>
      <c r="AE30" s="25" t="str">
        <f t="shared" si="5"/>
        <v/>
      </c>
      <c r="AF30" s="25" t="str">
        <f t="array" aca="1" ref="AF30" ca="1">+TRIM(SUBSTITUTE(SUBSTITUTE(SUBSTITUTE(SUBSTITUTE(IFERROR(AO30&amp;" "&amp;+_xlfn.XLOOKUP(((SUM(LEN(AN30))-SUM(LEN(SUBSTITUTE(AN30,",",""))))/LEN(",")+1)&amp;H30,AV:AV&amp;AW:AW,AY:AY)&amp;CHAR(34)&amp;B30&amp;CHAR(34)&amp;"!"&amp;_xlfn.XLOOKUP(H30,text_list[Genre],text_list[Type based on genre]&amp;text_list[Label]),""),"Second",AP30),"Third",AQ30),"Forth",AR30),"Fifth",AS30&amp;" "))</f>
        <v/>
      </c>
      <c r="AH30" t="str">
        <f t="shared" si="9"/>
        <v/>
      </c>
      <c r="AI30" s="25" t="str">
        <f t="array" ref="AI30">IF(SUM(COUNTIF(H30,{"*Deep*";"*Bass*";"*Slap*"})),"**Tiësto**Imanbek**",IF(SUM(COUNTIF(H30,{"*Lo-Fi*"})),"**L.Dre**Yasumu**",IF(SUM(COUNTIF(H30,{"*Tech*"})),"**Mau P**Gorgon City**",IF(SUM(COUNTIF(H30,{"*Indie/Chill Dance*"})),"**Felix Jaehn**Lost Frequencies**",IF(SUM(COUNTIF(H30,{"*Piano*"})),"**Avicii**Eric Prydz**",IF(SUM(COUNTIF(H30,{"*EDM*"})),"**David Guetta**Swedish House Mafia**",IF(H30="","","")))))))</f>
        <v/>
      </c>
      <c r="AN30" s="20" t="str">
        <f>TRIM(SUBSTITUTE(SUBSTITUTE(SUBSTITUTE(A35,"&amp;",","),"feat",","),".",""))</f>
        <v/>
      </c>
      <c r="AO30" s="20" t="str">
        <f ca="1">IFERROR(_xlfn.TEXTBEFORE(AN30,","),AN30)</f>
        <v/>
      </c>
      <c r="AP30" s="20" t="str">
        <f ca="1">IFERROR(TRIM(SUBSTITUTE(SUBSTITUTE(SUBSTITUTE(SUBSTITUTE(_xlfn.TEXTAFTER(AN30,",",1),AQ30,""),AR30,""),AS30,""),",","")),"")</f>
        <v/>
      </c>
      <c r="AQ30" s="20" t="str">
        <f ca="1">IFERROR(SUBSTITUTE(SUBSTITUTE(SUBSTITUTE(_xlfn.TEXTAFTER(AN30,",",2),AR30,""),",",""),AS30,""),"")</f>
        <v/>
      </c>
      <c r="AR30" s="20" t="str">
        <f ca="1">IFERROR(SUBSTITUTE(SUBSTITUTE(_xlfn.TEXTAFTER(AN30,",",3),AS30,""),",",""),"")</f>
        <v/>
      </c>
      <c r="AS30" s="20" t="str">
        <f ca="1">IFERROR(_xlfn.TEXTAFTER(AN30,",",4),"")</f>
        <v/>
      </c>
      <c r="AV30" s="11">
        <v>4</v>
      </c>
      <c r="AW30" s="9" t="s">
        <v>56</v>
      </c>
      <c r="AX30" s="12" t="s">
        <v>124</v>
      </c>
      <c r="AY30" t="e">
        <f ca="1">+_xlfn.TEXTBEFORE(text_list[[#This Row],[Text]],"''''!",,0)</f>
        <v>#NAME?</v>
      </c>
      <c r="AZ30" t="e">
        <f ca="1">+_xlfn.TEXTBEFORE(_xlfn.TEXTAFTER(text_list[[#This Row],[Text]],"'''!"),"Label")</f>
        <v>#NAME?</v>
      </c>
      <c r="BA30" t="e">
        <f ca="1">+_xlfn.TEXTAFTER(text_list[[#This Row],[Text]],text_list[[#This Row],[Type based on genre]])</f>
        <v>#NAME?</v>
      </c>
      <c r="BB30" t="s">
        <v>42</v>
      </c>
      <c r="BE30" t="s">
        <v>166</v>
      </c>
      <c r="BF30" t="s">
        <v>36</v>
      </c>
      <c r="BG30">
        <f t="shared" ca="1" si="10"/>
        <v>0.73202779264600648</v>
      </c>
      <c r="BJ30" t="s">
        <v>166</v>
      </c>
      <c r="BK30" t="s">
        <v>50</v>
      </c>
      <c r="BL30">
        <f t="shared" ca="1" si="11"/>
        <v>0.25013318676616336</v>
      </c>
      <c r="BN30" t="s">
        <v>166</v>
      </c>
      <c r="BO30" t="s">
        <v>52</v>
      </c>
      <c r="BP30">
        <f t="shared" ca="1" si="12"/>
        <v>0.67759527235981831</v>
      </c>
      <c r="BR30" t="s">
        <v>166</v>
      </c>
      <c r="BS30" t="s">
        <v>54</v>
      </c>
      <c r="BT30">
        <f t="shared" ca="1" si="13"/>
        <v>0.86886109399410516</v>
      </c>
      <c r="BV30" t="s">
        <v>166</v>
      </c>
      <c r="BW30" t="s">
        <v>59</v>
      </c>
      <c r="BX30">
        <f t="shared" ca="1" si="14"/>
        <v>0.3466657606863579</v>
      </c>
    </row>
    <row r="31" spans="6:76" x14ac:dyDescent="0.25">
      <c r="F31" s="3"/>
      <c r="O31" s="25" t="str">
        <f t="shared" si="0"/>
        <v/>
      </c>
      <c r="P31" s="25" t="str">
        <f t="shared" si="1"/>
        <v/>
      </c>
      <c r="Q31" s="25" t="str">
        <f t="shared" si="2"/>
        <v/>
      </c>
      <c r="R31" s="25" t="str">
        <f t="array" ref="R31">IF(SUM(COUNTIF(H31,{"*Deep*";"*Bass*";"*Slap*"})),"Citas:Deep House",IF(SUM(COUNTIF(H31,{"*Lo-Fi*"})),"Citas:Lo-Fi",IF(SUM(COUNTIF(H31,{"*Tech*"})),"Citas:Tech House",IF(SUM(COUNTIF(H31,{"*Indie/Chill Dance*"})),"Citas:Indie/Chill Dance",IF(SUM(COUNTIF(H31,{"*Piano*"})),"Citas:Piano House",IF(SUM(COUNTIF(H31,{"*EDM*"})),"edm dance",IF(H31="","","")))))))</f>
        <v/>
      </c>
      <c r="S31" s="25" t="str">
        <f t="array" ref="S31">IF(SUM(COUNTIF(H31,{"*Deep*";"*Bass*";"*Slap*"})),"energetic",IF(SUM(COUNTIF(H31,{"*Lo-Fi*"})),"calm",IF(SUM(COUNTIF(H31,{"*Tech*"})),"energetic",IF(SUM(COUNTIF(H31,{"*Indie/Chill Dance*"})),"chillout",IF(SUM(COUNTIF(H31,{"*Piano*"})),"energetic",IF(SUM(COUNTIF(H31,{"*EDM*"})),"energetic",IF(H31="","","")))))))</f>
        <v/>
      </c>
      <c r="T31" s="25" t="str">
        <f t="array" ref="T31">IF(SUM(COUNTIF(H31,{"*Tech*";"*EDM*";"*Indie*";"*Deep*";"*Piano*";"*Slap*";"*Brazilian Bass*"})),"Song would perfectly fit in any dance mood playlist! Label will invest up to 5000 EUR advertising on facebook and instagram ads aswell as promoting it over label and label partners playlists, radio stations and press.",IF(SUM(COUNTIF(H31,{"*Lo-Fi*"})),"Song would perfectly fit in any Lo-Fi mood playlist! Label will invest up to 5000 EUR advertising on facebook and instagram ads aswell as promoting it over label and label partners playlists, radio stations and press.",IF(H31="","","")))</f>
        <v/>
      </c>
      <c r="U31" s="25" t="str">
        <f t="shared" si="3"/>
        <v/>
      </c>
      <c r="V31" s="25" t="str">
        <f t="shared" si="4"/>
        <v/>
      </c>
      <c r="Z31" s="25" t="str">
        <f t="array" ref="Z31">IF(SUM(COUNTIF(H31,{"*Deep*";"*Bass*";"*Slap*"})),"Energetic,Happy",IF(SUM(COUNTIF(H31,{"*Lo-Fi*"})),"Romantic,Chill",IF(SUM(COUNTIF(H31,{"*Tech*"})),"Energetic,Happy",IF(SUM(COUNTIF(H31,{"*Indie/Chill Dance*"})),"Energetic,Chill",IF(SUM(COUNTIF(H31,{"*Piano*"})),"Energetic,Happy",IF(SUM(COUNTIF(H31,{"*EDM*"})),"Energetic,Happy",IF(H31="","","")))))))</f>
        <v/>
      </c>
      <c r="AA31" s="25" t="str">
        <f t="array" ref="AA31">IF(SUM(COUNTIF(H31,{"*Deep*";"*Bass*";"*Slap*"})),"None of these",IF(SUM(COUNTIF(H31,{"*Lo-Fi*"})),"Holiday,Beats",IF(SUM(COUNTIF(H31,{"*Tech*"})),"None of these",IF(SUM(COUNTIF(H31,{"*Indie/Chill Dance*"})),"None of these",IF(SUM(COUNTIF(H31,{"*Piano*"})),"None of these",IF(SUM(COUNTIF(H31,{"*EDM*"})),"None of these",IF(H31="","","")))))))</f>
        <v/>
      </c>
      <c r="AB31" s="25" t="str">
        <f t="array" ref="AB31">IF(SUM(COUNTIF(H31,{"*Deep*";"*Bass*";"*Slap*"})),"Samples,Synthesizer,Bass Guitar,Piano,Drum Kit,Electric Guitar",IF(SUM(COUNTIF(H31,{"*Lo-Fi*"})),"Samples,Synthesizer,Bass Guitar,Piano,Drum Kit,Electric Guitar",IF(SUM(COUNTIF(H31,{"*Tech*"})),"Samples,Synthesizer,Bass Guitar,Piano,Drum Kit,Electric Guitar",IF(SUM(COUNTIF(H31,{"*Indie/Chill Dance*"})),"Samples,Synthesizer,Bass Guitar,Piano,Drum Kit,Electric Guitar",IF(SUM(COUNTIF(H31,{"*Piano*"})),"Samples,Synthesizer,Bass Guitar,Piano,Drum Kit,Electric Guitar",IF(SUM(COUNTIF(H31,{"*EDM*"})),"Samples,Synthesizer,Bass Guitar,Piano,Drum Kit,Electric Guitar",IF(H31="","","")))))))</f>
        <v/>
      </c>
      <c r="AE31" s="25" t="str">
        <f t="shared" si="5"/>
        <v/>
      </c>
      <c r="AF31" s="25" t="str">
        <f t="array" aca="1" ref="AF31" ca="1">+TRIM(SUBSTITUTE(SUBSTITUTE(SUBSTITUTE(SUBSTITUTE(IFERROR(AO31&amp;" "&amp;+_xlfn.XLOOKUP(((SUM(LEN(AN31))-SUM(LEN(SUBSTITUTE(AN31,",",""))))/LEN(",")+1)&amp;H31,AV:AV&amp;AW:AW,AY:AY)&amp;CHAR(34)&amp;B31&amp;CHAR(34)&amp;"!"&amp;_xlfn.XLOOKUP(H31,text_list[Genre],text_list[Type based on genre]&amp;text_list[Label]),""),"Second",AP31),"Third",AQ31),"Forth",AR31),"Fifth",AS31&amp;" "))</f>
        <v/>
      </c>
      <c r="AH31" t="str">
        <f t="shared" si="9"/>
        <v/>
      </c>
      <c r="AI31" s="25" t="str">
        <f t="array" ref="AI31">IF(SUM(COUNTIF(H31,{"*Deep*";"*Bass*";"*Slap*"})),"**Tiësto**Imanbek**",IF(SUM(COUNTIF(H31,{"*Lo-Fi*"})),"**L.Dre**Yasumu**",IF(SUM(COUNTIF(H31,{"*Tech*"})),"**Mau P**Gorgon City**",IF(SUM(COUNTIF(H31,{"*Indie/Chill Dance*"})),"**Felix Jaehn**Lost Frequencies**",IF(SUM(COUNTIF(H31,{"*Piano*"})),"**Avicii**Eric Prydz**",IF(SUM(COUNTIF(H31,{"*EDM*"})),"**David Guetta**Swedish House Mafia**",IF(H31="","","")))))))</f>
        <v/>
      </c>
      <c r="AN31" s="20" t="str">
        <f>TRIM(SUBSTITUTE(SUBSTITUTE(SUBSTITUTE(A36,"&amp;",","),"feat",","),".",""))</f>
        <v/>
      </c>
      <c r="AO31" s="20" t="str">
        <f ca="1">IFERROR(_xlfn.TEXTBEFORE(AN31,","),AN31)</f>
        <v/>
      </c>
      <c r="AP31" s="20" t="str">
        <f ca="1">IFERROR(TRIM(SUBSTITUTE(SUBSTITUTE(SUBSTITUTE(SUBSTITUTE(_xlfn.TEXTAFTER(AN31,",",1),AQ31,""),AR31,""),AS31,""),",","")),"")</f>
        <v/>
      </c>
      <c r="AQ31" s="20" t="str">
        <f ca="1">IFERROR(SUBSTITUTE(SUBSTITUTE(SUBSTITUTE(_xlfn.TEXTAFTER(AN31,",",2),AR31,""),",",""),AS31,""),"")</f>
        <v/>
      </c>
      <c r="AR31" s="20" t="str">
        <f ca="1">IFERROR(SUBSTITUTE(SUBSTITUTE(_xlfn.TEXTAFTER(AN31,",",3),AS31,""),",",""),"")</f>
        <v/>
      </c>
      <c r="AS31" s="20" t="str">
        <f ca="1">IFERROR(_xlfn.TEXTAFTER(AN31,",",4),"")</f>
        <v/>
      </c>
      <c r="AV31" s="11">
        <v>5</v>
      </c>
      <c r="AW31" s="9" t="s">
        <v>56</v>
      </c>
      <c r="AX31" s="12" t="s">
        <v>95</v>
      </c>
      <c r="AY31" t="e">
        <f ca="1">+_xlfn.TEXTBEFORE(text_list[[#This Row],[Text]],"''''!",,0)</f>
        <v>#NAME?</v>
      </c>
      <c r="AZ31" t="e">
        <f ca="1">+_xlfn.TEXTBEFORE(_xlfn.TEXTAFTER(text_list[[#This Row],[Text]],"'''!"),"Label")</f>
        <v>#NAME?</v>
      </c>
      <c r="BA31" t="e">
        <f ca="1">+_xlfn.TEXTAFTER(text_list[[#This Row],[Text]],text_list[[#This Row],[Type based on genre]])</f>
        <v>#NAME?</v>
      </c>
      <c r="BB31" t="s">
        <v>42</v>
      </c>
      <c r="BE31" t="s">
        <v>167</v>
      </c>
      <c r="BF31" t="s">
        <v>36</v>
      </c>
      <c r="BG31">
        <f t="shared" ca="1" si="10"/>
        <v>0.33994377368887019</v>
      </c>
      <c r="BJ31" t="s">
        <v>167</v>
      </c>
      <c r="BK31" t="s">
        <v>50</v>
      </c>
      <c r="BL31">
        <f t="shared" ca="1" si="11"/>
        <v>0.82231824754814897</v>
      </c>
      <c r="BN31" t="s">
        <v>167</v>
      </c>
      <c r="BO31" t="s">
        <v>52</v>
      </c>
      <c r="BP31">
        <f t="shared" ca="1" si="12"/>
        <v>0.43718909893340507</v>
      </c>
      <c r="BR31" t="s">
        <v>167</v>
      </c>
      <c r="BS31" t="s">
        <v>54</v>
      </c>
      <c r="BT31">
        <f t="shared" ca="1" si="13"/>
        <v>0.73697971298542564</v>
      </c>
      <c r="BV31" t="s">
        <v>167</v>
      </c>
      <c r="BW31" t="s">
        <v>59</v>
      </c>
      <c r="BX31">
        <f t="shared" ca="1" si="14"/>
        <v>0.58304253717758048</v>
      </c>
    </row>
    <row r="32" spans="6:76" x14ac:dyDescent="0.25">
      <c r="F32" s="3"/>
      <c r="O32" s="25" t="str">
        <f t="shared" si="0"/>
        <v/>
      </c>
      <c r="P32" s="25" t="str">
        <f t="shared" si="1"/>
        <v/>
      </c>
      <c r="Q32" s="25" t="str">
        <f t="shared" si="2"/>
        <v/>
      </c>
      <c r="R32" s="25" t="str">
        <f t="array" ref="R32">IF(SUM(COUNTIF(H32,{"*Deep*";"*Bass*";"*Slap*"})),"Citas:Deep House",IF(SUM(COUNTIF(H32,{"*Lo-Fi*"})),"Citas:Lo-Fi",IF(SUM(COUNTIF(H32,{"*Tech*"})),"Citas:Tech House",IF(SUM(COUNTIF(H32,{"*Indie/Chill Dance*"})),"Citas:Indie/Chill Dance",IF(SUM(COUNTIF(H32,{"*Piano*"})),"Citas:Piano House",IF(SUM(COUNTIF(H32,{"*EDM*"})),"edm dance",IF(H32="","","")))))))</f>
        <v/>
      </c>
      <c r="S32" s="25" t="str">
        <f t="array" ref="S32">IF(SUM(COUNTIF(H32,{"*Deep*";"*Bass*";"*Slap*"})),"energetic",IF(SUM(COUNTIF(H32,{"*Lo-Fi*"})),"calm",IF(SUM(COUNTIF(H32,{"*Tech*"})),"energetic",IF(SUM(COUNTIF(H32,{"*Indie/Chill Dance*"})),"chillout",IF(SUM(COUNTIF(H32,{"*Piano*"})),"energetic",IF(SUM(COUNTIF(H32,{"*EDM*"})),"energetic",IF(H32="","","")))))))</f>
        <v/>
      </c>
      <c r="T32" s="25" t="str">
        <f t="array" ref="T32">IF(SUM(COUNTIF(H32,{"*Tech*";"*EDM*";"*Indie*";"*Deep*";"*Piano*";"*Slap*";"*Brazilian Bass*"})),"Song would perfectly fit in any dance mood playlist! Label will invest up to 5000 EUR advertising on facebook and instagram ads aswell as promoting it over label and label partners playlists, radio stations and press.",IF(SUM(COUNTIF(H32,{"*Lo-Fi*"})),"Song would perfectly fit in any Lo-Fi mood playlist! Label will invest up to 5000 EUR advertising on facebook and instagram ads aswell as promoting it over label and label partners playlists, radio stations and press.",IF(H32="","","")))</f>
        <v/>
      </c>
      <c r="U32" s="25" t="str">
        <f t="shared" si="3"/>
        <v/>
      </c>
      <c r="V32" s="25" t="str">
        <f t="shared" si="4"/>
        <v/>
      </c>
      <c r="Z32" s="25" t="str">
        <f t="array" ref="Z32">IF(SUM(COUNTIF(H32,{"*Deep*";"*Bass*";"*Slap*"})),"Energetic,Happy",IF(SUM(COUNTIF(H32,{"*Lo-Fi*"})),"Romantic,Chill",IF(SUM(COUNTIF(H32,{"*Tech*"})),"Energetic,Happy",IF(SUM(COUNTIF(H32,{"*Indie/Chill Dance*"})),"Energetic,Chill",IF(SUM(COUNTIF(H32,{"*Piano*"})),"Energetic,Happy",IF(SUM(COUNTIF(H32,{"*EDM*"})),"Energetic,Happy",IF(H32="","","")))))))</f>
        <v/>
      </c>
      <c r="AB32" s="25" t="str">
        <f t="array" ref="AB32">IF(SUM(COUNTIF(H32,{"*Deep*";"*Bass*";"*Slap*"})),"Samples,Synthesizer,Bass Guitar,Piano,Drum Kit,Electric Guitar",IF(SUM(COUNTIF(H32,{"*Lo-Fi*"})),"Samples,Synthesizer,Bass Guitar,Piano,Drum Kit,Electric Guitar",IF(SUM(COUNTIF(H32,{"*Tech*"})),"Samples,Synthesizer,Bass Guitar,Piano,Drum Kit,Electric Guitar",IF(SUM(COUNTIF(H32,{"*Indie/Chill Dance*"})),"Samples,Synthesizer,Bass Guitar,Piano,Drum Kit,Electric Guitar",IF(SUM(COUNTIF(H32,{"*Piano*"})),"Samples,Synthesizer,Bass Guitar,Piano,Drum Kit,Electric Guitar",IF(SUM(COUNTIF(H32,{"*EDM*"})),"Samples,Synthesizer,Bass Guitar,Piano,Drum Kit,Electric Guitar",IF(H32="","","")))))))</f>
        <v/>
      </c>
      <c r="AE32" s="25" t="str">
        <f t="shared" si="5"/>
        <v/>
      </c>
      <c r="AF32" s="25" t="str">
        <f t="array" aca="1" ref="AF32" ca="1">+TRIM(SUBSTITUTE(SUBSTITUTE(SUBSTITUTE(SUBSTITUTE(IFERROR(AO32&amp;" "&amp;+_xlfn.XLOOKUP(((SUM(LEN(AN32))-SUM(LEN(SUBSTITUTE(AN32,",",""))))/LEN(",")+1)&amp;H32,AV:AV&amp;AW:AW,AY:AY)&amp;CHAR(34)&amp;B32&amp;CHAR(34)&amp;"!"&amp;_xlfn.XLOOKUP(H32,text_list[Genre],text_list[Type based on genre]&amp;text_list[Label]),""),"Second",AP32),"Third",AQ32),"Forth",AR32),"Fifth",AS32&amp;" "))</f>
        <v/>
      </c>
      <c r="AH32" t="str">
        <f t="shared" si="9"/>
        <v/>
      </c>
      <c r="AI32" s="25" t="str">
        <f t="array" ref="AI32">IF(SUM(COUNTIF(H32,{"*Deep*";"*Bass*";"*Slap*"})),"**Tiësto**Imanbek**",IF(SUM(COUNTIF(H32,{"*Lo-Fi*"})),"**L.Dre**Yasumu**",IF(SUM(COUNTIF(H32,{"*Tech*"})),"**Mau P**Gorgon City**",IF(SUM(COUNTIF(H32,{"*Indie/Chill Dance*"})),"**Felix Jaehn**Lost Frequencies**",IF(SUM(COUNTIF(H32,{"*Piano*"})),"**Avicii**Eric Prydz**",IF(SUM(COUNTIF(H32,{"*EDM*"})),"**David Guetta**Swedish House Mafia**",IF(H32="","","")))))))</f>
        <v/>
      </c>
      <c r="AN32" s="20" t="str">
        <f>TRIM(SUBSTITUTE(SUBSTITUTE(SUBSTITUTE(A37,"&amp;",","),"feat",","),".",""))</f>
        <v/>
      </c>
      <c r="AO32" s="20" t="str">
        <f ca="1">IFERROR(_xlfn.TEXTBEFORE(AN32,","),AN32)</f>
        <v/>
      </c>
      <c r="AP32" s="20" t="str">
        <f ca="1">IFERROR(TRIM(SUBSTITUTE(SUBSTITUTE(SUBSTITUTE(SUBSTITUTE(_xlfn.TEXTAFTER(AN32,",",1),AQ32,""),AR32,""),AS32,""),",","")),"")</f>
        <v/>
      </c>
      <c r="AQ32" s="20" t="str">
        <f ca="1">IFERROR(SUBSTITUTE(SUBSTITUTE(SUBSTITUTE(_xlfn.TEXTAFTER(AN32,",",2),AR32,""),",",""),AS32,""),"")</f>
        <v/>
      </c>
      <c r="AR32" s="20" t="str">
        <f ca="1">IFERROR(SUBSTITUTE(SUBSTITUTE(_xlfn.TEXTAFTER(AN32,",",3),AS32,""),",",""),"")</f>
        <v/>
      </c>
      <c r="AS32" s="20" t="str">
        <f ca="1">IFERROR(_xlfn.TEXTAFTER(AN32,",",4),"")</f>
        <v/>
      </c>
      <c r="AV32" s="11">
        <v>1</v>
      </c>
      <c r="AW32" s="9" t="s">
        <v>58</v>
      </c>
      <c r="AX32" s="12" t="s">
        <v>41</v>
      </c>
      <c r="AY32" t="e">
        <f ca="1">+_xlfn.TEXTBEFORE(text_list[[#This Row],[Text]],"''''!",,0)</f>
        <v>#NAME?</v>
      </c>
      <c r="AZ32" t="e">
        <f ca="1">+_xlfn.TEXTBEFORE(_xlfn.TEXTAFTER(text_list[[#This Row],[Text]],"'''!"),"Label")</f>
        <v>#NAME?</v>
      </c>
      <c r="BA32" t="e">
        <f ca="1">+_xlfn.TEXTAFTER(text_list[[#This Row],[Text]],text_list[[#This Row],[Type based on genre]])</f>
        <v>#NAME?</v>
      </c>
      <c r="BB32" t="s">
        <v>42</v>
      </c>
    </row>
    <row r="33" spans="6:69" x14ac:dyDescent="0.25">
      <c r="F33" s="3"/>
      <c r="O33" s="25" t="str">
        <f t="shared" si="0"/>
        <v/>
      </c>
      <c r="P33" s="25" t="str">
        <f t="shared" si="1"/>
        <v/>
      </c>
      <c r="Q33" s="25" t="str">
        <f t="shared" si="2"/>
        <v/>
      </c>
      <c r="R33" s="25" t="str">
        <f t="array" ref="R33">IF(SUM(COUNTIF(H33,{"*Deep*";"*Bass*";"*Slap*"})),"Citas:Deep House",IF(SUM(COUNTIF(H33,{"*Lo-Fi*"})),"Citas:Lo-Fi",IF(SUM(COUNTIF(H33,{"*Tech*"})),"Citas:Tech House",IF(SUM(COUNTIF(H33,{"*Indie/Chill Dance*"})),"Citas:Indie/Chill Dance",IF(SUM(COUNTIF(H33,{"*Piano*"})),"Citas:Piano House",IF(SUM(COUNTIF(H33,{"*EDM*"})),"edm dance",IF(H33="","","")))))))</f>
        <v/>
      </c>
      <c r="S33" s="25" t="str">
        <f t="array" ref="S33">IF(SUM(COUNTIF(H33,{"*Deep*";"*Bass*";"*Slap*"})),"energetic",IF(SUM(COUNTIF(H33,{"*Lo-Fi*"})),"calm",IF(SUM(COUNTIF(H33,{"*Tech*"})),"energetic",IF(SUM(COUNTIF(H33,{"*Indie/Chill Dance*"})),"chillout",IF(SUM(COUNTIF(H33,{"*Piano*"})),"energetic",IF(SUM(COUNTIF(H33,{"*EDM*"})),"energetic",IF(H33="","","")))))))</f>
        <v/>
      </c>
      <c r="T33" s="25" t="str">
        <f t="array" ref="T33">IF(SUM(COUNTIF(H33,{"*Tech*";"*EDM*";"*Indie*";"*Deep*";"*Piano*";"*Slap*";"*Brazilian Bass*"})),"Song would perfectly fit in any dance mood playlist! Label will invest up to 5000 EUR advertising on facebook and instagram ads aswell as promoting it over label and label partners playlists, radio stations and press.",IF(SUM(COUNTIF(H33,{"*Lo-Fi*"})),"Song would perfectly fit in any Lo-Fi mood playlist! Label will invest up to 5000 EUR advertising on facebook and instagram ads aswell as promoting it over label and label partners playlists, radio stations and press.",IF(H33="","","")))</f>
        <v/>
      </c>
      <c r="U33" s="25" t="str">
        <f t="shared" si="3"/>
        <v/>
      </c>
      <c r="V33" s="25" t="str">
        <f t="shared" si="4"/>
        <v/>
      </c>
      <c r="Z33" s="25" t="str">
        <f t="array" ref="Z33">IF(SUM(COUNTIF(H33,{"*Deep*";"*Bass*";"*Slap*"})),"Energetic,Happy",IF(SUM(COUNTIF(H33,{"*Lo-Fi*"})),"Romantic,Chill",IF(SUM(COUNTIF(H33,{"*Tech*"})),"Energetic,Happy",IF(SUM(COUNTIF(H33,{"*Indie/Chill Dance*"})),"Energetic,Chill",IF(SUM(COUNTIF(H33,{"*Piano*"})),"Energetic,Happy",IF(SUM(COUNTIF(H33,{"*EDM*"})),"Energetic,Happy",IF(H33="","","")))))))</f>
        <v/>
      </c>
      <c r="AB33" s="25" t="str">
        <f t="array" ref="AB33">IF(SUM(COUNTIF(H33,{"*Deep*";"*Bass*";"*Slap*"})),"Samples,Synthesizer,Bass Guitar,Piano,Drum Kit,Electric Guitar",IF(SUM(COUNTIF(H33,{"*Lo-Fi*"})),"Samples,Synthesizer,Bass Guitar,Piano,Drum Kit,Electric Guitar",IF(SUM(COUNTIF(H33,{"*Tech*"})),"Samples,Synthesizer,Bass Guitar,Piano,Drum Kit,Electric Guitar",IF(SUM(COUNTIF(H33,{"*Indie/Chill Dance*"})),"Samples,Synthesizer,Bass Guitar,Piano,Drum Kit,Electric Guitar",IF(SUM(COUNTIF(H33,{"*Piano*"})),"Samples,Synthesizer,Bass Guitar,Piano,Drum Kit,Electric Guitar",IF(SUM(COUNTIF(H33,{"*EDM*"})),"Samples,Synthesizer,Bass Guitar,Piano,Drum Kit,Electric Guitar",IF(H33="","","")))))))</f>
        <v/>
      </c>
      <c r="AE33" s="25" t="str">
        <f t="shared" si="5"/>
        <v/>
      </c>
      <c r="AF33" s="25" t="str">
        <f t="array" aca="1" ref="AF33" ca="1">+TRIM(SUBSTITUTE(SUBSTITUTE(SUBSTITUTE(SUBSTITUTE(IFERROR(AO33&amp;" "&amp;+_xlfn.XLOOKUP(((SUM(LEN(AN33))-SUM(LEN(SUBSTITUTE(AN33,",",""))))/LEN(",")+1)&amp;H33,AV:AV&amp;AW:AW,AY:AY)&amp;CHAR(34)&amp;B33&amp;CHAR(34)&amp;"!"&amp;_xlfn.XLOOKUP(H33,text_list[Genre],text_list[Type based on genre]&amp;text_list[Label]),""),"Second",AP33),"Third",AQ33),"Forth",AR33),"Fifth",AS33&amp;" "))</f>
        <v/>
      </c>
      <c r="AH33" t="str">
        <f t="shared" si="9"/>
        <v/>
      </c>
      <c r="AI33" s="25" t="str">
        <f t="array" ref="AI33">IF(SUM(COUNTIF(H33,{"*Deep*";"*Bass*";"*Slap*"})),"**Tiësto**Imanbek**",IF(SUM(COUNTIF(H33,{"*Lo-Fi*"})),"**L.Dre**Yasumu**",IF(SUM(COUNTIF(H33,{"*Tech*"})),"**Mau P**Gorgon City**",IF(SUM(COUNTIF(H33,{"*Indie/Chill Dance*"})),"**Felix Jaehn**Lost Frequencies**",IF(SUM(COUNTIF(H33,{"*Piano*"})),"**Avicii**Eric Prydz**",IF(SUM(COUNTIF(H33,{"*EDM*"})),"**David Guetta**Swedish House Mafia**",IF(H33="","","")))))))</f>
        <v/>
      </c>
      <c r="AN33" s="20" t="str">
        <f>TRIM(SUBSTITUTE(SUBSTITUTE(SUBSTITUTE(A38,"&amp;",","),"feat",","),".",""))</f>
        <v/>
      </c>
      <c r="AO33" s="20" t="str">
        <f ca="1">IFERROR(_xlfn.TEXTBEFORE(AN33,","),AN33)</f>
        <v/>
      </c>
      <c r="AP33" s="20" t="str">
        <f ca="1">IFERROR(TRIM(SUBSTITUTE(SUBSTITUTE(SUBSTITUTE(SUBSTITUTE(_xlfn.TEXTAFTER(AN33,",",1),AQ33,""),AR33,""),AS33,""),",","")),"")</f>
        <v/>
      </c>
      <c r="AQ33" s="20" t="str">
        <f ca="1">IFERROR(SUBSTITUTE(SUBSTITUTE(SUBSTITUTE(_xlfn.TEXTAFTER(AN33,",",2),AR33,""),",",""),AS33,""),"")</f>
        <v/>
      </c>
      <c r="AR33" s="20" t="str">
        <f ca="1">IFERROR(SUBSTITUTE(SUBSTITUTE(_xlfn.TEXTAFTER(AN33,",",3),AS33,""),",",""),"")</f>
        <v/>
      </c>
      <c r="AS33" s="20" t="str">
        <f ca="1">IFERROR(_xlfn.TEXTAFTER(AN33,",",4),"")</f>
        <v/>
      </c>
      <c r="AV33" s="11">
        <v>2</v>
      </c>
      <c r="AW33" s="9" t="s">
        <v>58</v>
      </c>
      <c r="AX33" s="12" t="s">
        <v>47</v>
      </c>
      <c r="AY33" t="e">
        <f ca="1">+_xlfn.TEXTBEFORE(text_list[[#This Row],[Text]],"''''!",,0)</f>
        <v>#NAME?</v>
      </c>
      <c r="AZ33" t="e">
        <f ca="1">+_xlfn.TEXTBEFORE(_xlfn.TEXTAFTER(text_list[[#This Row],[Text]],"'''!"),"Label")</f>
        <v>#NAME?</v>
      </c>
      <c r="BA33" t="e">
        <f ca="1">+_xlfn.TEXTAFTER(text_list[[#This Row],[Text]],text_list[[#This Row],[Type based on genre]])</f>
        <v>#NAME?</v>
      </c>
      <c r="BB33" t="s">
        <v>42</v>
      </c>
    </row>
    <row r="34" spans="6:69" x14ac:dyDescent="0.25">
      <c r="F34" s="3"/>
      <c r="O34" s="25" t="str">
        <f t="shared" si="0"/>
        <v/>
      </c>
      <c r="P34" s="25" t="str">
        <f t="shared" si="1"/>
        <v/>
      </c>
      <c r="Q34" s="25" t="str">
        <f t="shared" si="2"/>
        <v/>
      </c>
      <c r="R34" s="25" t="str">
        <f t="array" ref="R34">IF(SUM(COUNTIF(H34,{"*Deep*";"*Bass*";"*Slap*"})),"Citas:Deep House",IF(SUM(COUNTIF(H34,{"*Lo-Fi*"})),"Citas:Lo-Fi",IF(SUM(COUNTIF(H34,{"*Tech*"})),"Citas:Tech House",IF(SUM(COUNTIF(H34,{"*Indie/Chill Dance*"})),"Citas:Indie/Chill Dance",IF(SUM(COUNTIF(H34,{"*Piano*"})),"Citas:Piano House",IF(SUM(COUNTIF(H34,{"*EDM*"})),"edm dance",IF(H34="","","")))))))</f>
        <v/>
      </c>
      <c r="S34" s="25" t="str">
        <f t="array" ref="S34">IF(SUM(COUNTIF(H34,{"*Deep*";"*Bass*";"*Slap*"})),"energetic",IF(SUM(COUNTIF(H34,{"*Lo-Fi*"})),"calm",IF(SUM(COUNTIF(H34,{"*Tech*"})),"energetic",IF(SUM(COUNTIF(H34,{"*Indie/Chill Dance*"})),"chillout",IF(SUM(COUNTIF(H34,{"*Piano*"})),"energetic",IF(SUM(COUNTIF(H34,{"*EDM*"})),"energetic",IF(H34="","","")))))))</f>
        <v/>
      </c>
      <c r="T34" s="25" t="str">
        <f t="array" ref="T34">IF(SUM(COUNTIF(H34,{"*Tech*";"*EDM*";"*Indie*";"*Deep*";"*Piano*";"*Slap*";"*Brazilian Bass*"})),"Song would perfectly fit in any dance mood playlist! Label will invest up to 5000 EUR advertising on facebook and instagram ads aswell as promoting it over label and label partners playlists, radio stations and press.",IF(SUM(COUNTIF(H34,{"*Lo-Fi*"})),"Song would perfectly fit in any Lo-Fi mood playlist! Label will invest up to 5000 EUR advertising on facebook and instagram ads aswell as promoting it over label and label partners playlists, radio stations and press.",IF(H34="","","")))</f>
        <v/>
      </c>
      <c r="U34" s="25" t="str">
        <f t="shared" si="3"/>
        <v/>
      </c>
      <c r="V34" s="25" t="str">
        <f t="shared" si="4"/>
        <v/>
      </c>
      <c r="Z34" s="25" t="str">
        <f t="array" ref="Z34">IF(SUM(COUNTIF(H34,{"*Deep*";"*Bass*";"*Slap*"})),"Energetic,Happy",IF(SUM(COUNTIF(H34,{"*Lo-Fi*"})),"Romantic,Chill",IF(SUM(COUNTIF(H34,{"*Tech*"})),"Energetic,Happy",IF(SUM(COUNTIF(H34,{"*Indie/Chill Dance*"})),"Energetic,Chill",IF(SUM(COUNTIF(H34,{"*Piano*"})),"Energetic,Happy",IF(SUM(COUNTIF(H34,{"*EDM*"})),"Energetic,Happy",IF(H34="","","")))))))</f>
        <v/>
      </c>
      <c r="AB34" s="25" t="str">
        <f t="array" ref="AB34">IF(SUM(COUNTIF(H34,{"*Deep*";"*Bass*";"*Slap*"})),"Samples,Synthesizer,Bass Guitar,Piano,Drum Kit,Electric Guitar",IF(SUM(COUNTIF(H34,{"*Lo-Fi*"})),"Samples,Synthesizer,Bass Guitar,Piano,Drum Kit,Electric Guitar",IF(SUM(COUNTIF(H34,{"*Tech*"})),"Samples,Synthesizer,Bass Guitar,Piano,Drum Kit,Electric Guitar",IF(SUM(COUNTIF(H34,{"*Indie/Chill Dance*"})),"Samples,Synthesizer,Bass Guitar,Piano,Drum Kit,Electric Guitar",IF(SUM(COUNTIF(H34,{"*Piano*"})),"Samples,Synthesizer,Bass Guitar,Piano,Drum Kit,Electric Guitar",IF(SUM(COUNTIF(H34,{"*EDM*"})),"Samples,Synthesizer,Bass Guitar,Piano,Drum Kit,Electric Guitar",IF(H34="","","")))))))</f>
        <v/>
      </c>
      <c r="AF34" s="25" t="str">
        <f t="array" aca="1" ref="AF34" ca="1">+TRIM(SUBSTITUTE(SUBSTITUTE(SUBSTITUTE(SUBSTITUTE(IFERROR(AO34&amp;" "&amp;+_xlfn.XLOOKUP(((SUM(LEN(AN34))-SUM(LEN(SUBSTITUTE(AN34,",",""))))/LEN(",")+1)&amp;H34,AV:AV&amp;AW:AW,AY:AY)&amp;CHAR(34)&amp;B34&amp;CHAR(34)&amp;"!"&amp;_xlfn.XLOOKUP(H34,text_list[Genre],text_list[Type based on genre]&amp;text_list[Label]),""),"Second",AP34),"Third",AQ34),"Forth",AR34),"Fifth",AS34&amp;" "))</f>
        <v/>
      </c>
      <c r="AH34" t="str">
        <f t="shared" si="9"/>
        <v/>
      </c>
      <c r="AI34" s="25" t="str">
        <f t="array" ref="AI34">IF(SUM(COUNTIF(H34,{"*Deep*";"*Bass*";"*Slap*"})),"**Tiësto**Imanbek**",IF(SUM(COUNTIF(H34,{"*Lo-Fi*"})),"**L.Dre**Yasumu**",IF(SUM(COUNTIF(H34,{"*Tech*"})),"**Mau P**Gorgon City**",IF(SUM(COUNTIF(H34,{"*Indie/Chill Dance*"})),"**Felix Jaehn**Lost Frequencies**",IF(SUM(COUNTIF(H34,{"*Piano*"})),"**Avicii**Eric Prydz**",IF(SUM(COUNTIF(H34,{"*EDM*"})),"**David Guetta**Swedish House Mafia**",IF(H34="","","")))))))</f>
        <v/>
      </c>
      <c r="AN34" s="20" t="str">
        <f>TRIM(SUBSTITUTE(SUBSTITUTE(SUBSTITUTE(A39,"&amp;",","),"feat",","),".",""))</f>
        <v/>
      </c>
      <c r="AO34" s="20" t="str">
        <f ca="1">IFERROR(_xlfn.TEXTBEFORE(AN34,","),AN34)</f>
        <v/>
      </c>
      <c r="AP34" s="20" t="str">
        <f ca="1">IFERROR(TRIM(SUBSTITUTE(SUBSTITUTE(SUBSTITUTE(SUBSTITUTE(_xlfn.TEXTAFTER(AN34,",",1),AQ34,""),AR34,""),AS34,""),",","")),"")</f>
        <v/>
      </c>
      <c r="AQ34" s="20" t="str">
        <f ca="1">IFERROR(SUBSTITUTE(SUBSTITUTE(SUBSTITUTE(_xlfn.TEXTAFTER(AN34,",",2),AR34,""),",",""),AS34,""),"")</f>
        <v/>
      </c>
      <c r="AR34" s="20" t="str">
        <f ca="1">IFERROR(SUBSTITUTE(SUBSTITUTE(_xlfn.TEXTAFTER(AN34,",",3),AS34,""),",",""),"")</f>
        <v/>
      </c>
      <c r="AS34" s="20" t="str">
        <f ca="1">IFERROR(_xlfn.TEXTAFTER(AN34,",",4),"")</f>
        <v/>
      </c>
      <c r="AV34" s="11">
        <v>3</v>
      </c>
      <c r="AW34" s="9" t="s">
        <v>58</v>
      </c>
      <c r="AX34" s="12" t="s">
        <v>69</v>
      </c>
      <c r="AY34" t="e">
        <f ca="1">+_xlfn.TEXTBEFORE(text_list[[#This Row],[Text]],"''''!",,0)</f>
        <v>#NAME?</v>
      </c>
      <c r="AZ34" t="e">
        <f ca="1">+_xlfn.TEXTBEFORE(_xlfn.TEXTAFTER(text_list[[#This Row],[Text]],"'''!"),"Label")</f>
        <v>#NAME?</v>
      </c>
      <c r="BA34" t="e">
        <f ca="1">+_xlfn.TEXTAFTER(text_list[[#This Row],[Text]],text_list[[#This Row],[Type based on genre]])</f>
        <v>#NAME?</v>
      </c>
      <c r="BB34" t="s">
        <v>42</v>
      </c>
      <c r="BE34" t="s">
        <v>2</v>
      </c>
      <c r="BF34" t="s">
        <v>7</v>
      </c>
      <c r="BG34" t="s">
        <v>44</v>
      </c>
      <c r="BJ34" t="s">
        <v>2</v>
      </c>
      <c r="BK34" t="s">
        <v>7</v>
      </c>
      <c r="BL34" t="s">
        <v>44</v>
      </c>
      <c r="BO34" t="s">
        <v>2</v>
      </c>
      <c r="BP34" t="s">
        <v>7</v>
      </c>
      <c r="BQ34" t="s">
        <v>44</v>
      </c>
    </row>
    <row r="35" spans="6:69" x14ac:dyDescent="0.25">
      <c r="F35" s="3"/>
      <c r="O35" s="25" t="str">
        <f t="shared" si="0"/>
        <v/>
      </c>
      <c r="P35" s="25" t="str">
        <f t="shared" si="1"/>
        <v/>
      </c>
      <c r="Q35" s="25" t="str">
        <f t="shared" si="2"/>
        <v/>
      </c>
      <c r="R35" s="25" t="str">
        <f t="array" ref="R35">IF(SUM(COUNTIF(H35,{"*Deep*";"*Bass*";"*Slap*"})),"Citas:Deep House",IF(SUM(COUNTIF(H35,{"*Lo-Fi*"})),"Citas:Lo-Fi",IF(SUM(COUNTIF(H35,{"*Tech*"})),"Citas:Tech House",IF(SUM(COUNTIF(H35,{"*Indie/Chill Dance*"})),"Citas:Indie/Chill Dance",IF(SUM(COUNTIF(H35,{"*Piano*"})),"Citas:Piano House",IF(SUM(COUNTIF(H35,{"*EDM*"})),"edm dance",IF(H35="","","")))))))</f>
        <v/>
      </c>
      <c r="S35" s="25" t="str">
        <f t="array" ref="S35">IF(SUM(COUNTIF(H35,{"*Deep*";"*Bass*";"*Slap*"})),"energetic",IF(SUM(COUNTIF(H35,{"*Lo-Fi*"})),"calm",IF(SUM(COUNTIF(H35,{"*Tech*"})),"energetic",IF(SUM(COUNTIF(H35,{"*Indie/Chill Dance*"})),"chillout",IF(SUM(COUNTIF(H35,{"*Piano*"})),"energetic",IF(SUM(COUNTIF(H35,{"*EDM*"})),"energetic",IF(H35="","","")))))))</f>
        <v/>
      </c>
      <c r="T35" s="25" t="str">
        <f t="array" ref="T35">IF(SUM(COUNTIF(H35,{"*Tech*";"*EDM*";"*Indie*";"*Deep*";"*Piano*";"*Slap*";"*Brazilian Bass*"})),"Song would perfectly fit in any dance mood playlist! Label will invest up to 5000 EUR advertising on facebook and instagram ads aswell as promoting it over label and label partners playlists, radio stations and press.",IF(SUM(COUNTIF(H35,{"*Lo-Fi*"})),"Song would perfectly fit in any Lo-Fi mood playlist! Label will invest up to 5000 EUR advertising on facebook and instagram ads aswell as promoting it over label and label partners playlists, radio stations and press.",IF(H35="","","")))</f>
        <v/>
      </c>
      <c r="U35" s="25" t="str">
        <f t="shared" si="3"/>
        <v/>
      </c>
      <c r="V35" s="25" t="str">
        <f t="shared" si="4"/>
        <v/>
      </c>
      <c r="Z35" s="25" t="str">
        <f t="array" ref="Z35">IF(SUM(COUNTIF(H35,{"*Deep*";"*Bass*";"*Slap*"})),"Energetic,Happy",IF(SUM(COUNTIF(H35,{"*Lo-Fi*"})),"Romantic,Chill",IF(SUM(COUNTIF(H35,{"*Tech*"})),"Energetic,Happy",IF(SUM(COUNTIF(H35,{"*Indie/Chill Dance*"})),"Energetic,Chill",IF(SUM(COUNTIF(H35,{"*Piano*"})),"Energetic,Happy",IF(SUM(COUNTIF(H35,{"*EDM*"})),"Energetic,Happy",IF(H35="","","")))))))</f>
        <v/>
      </c>
      <c r="AB35" s="25" t="str">
        <f t="array" ref="AB35">IF(SUM(COUNTIF(H35,{"*Deep*";"*Bass*";"*Slap*"})),"Samples,Synthesizer,Bass Guitar,Piano,Drum Kit,Electric Guitar",IF(SUM(COUNTIF(H35,{"*Lo-Fi*"})),"Samples,Synthesizer,Bass Guitar,Piano,Drum Kit,Electric Guitar",IF(SUM(COUNTIF(H35,{"*Tech*"})),"Samples,Synthesizer,Bass Guitar,Piano,Drum Kit,Electric Guitar",IF(SUM(COUNTIF(H35,{"*Indie/Chill Dance*"})),"Samples,Synthesizer,Bass Guitar,Piano,Drum Kit,Electric Guitar",IF(SUM(COUNTIF(H35,{"*Piano*"})),"Samples,Synthesizer,Bass Guitar,Piano,Drum Kit,Electric Guitar",IF(SUM(COUNTIF(H35,{"*EDM*"})),"Samples,Synthesizer,Bass Guitar,Piano,Drum Kit,Electric Guitar",IF(H35="","","")))))))</f>
        <v/>
      </c>
      <c r="AF35" s="25" t="str">
        <f t="array" aca="1" ref="AF35" ca="1">+TRIM(SUBSTITUTE(SUBSTITUTE(SUBSTITUTE(SUBSTITUTE(IFERROR(AO35&amp;" "&amp;+_xlfn.XLOOKUP(((SUM(LEN(AN35))-SUM(LEN(SUBSTITUTE(AN35,",",""))))/LEN(",")+1)&amp;H35,AV:AV&amp;AW:AW,AY:AY)&amp;CHAR(34)&amp;B35&amp;CHAR(34)&amp;"!"&amp;_xlfn.XLOOKUP(H35,text_list[Genre],text_list[Type based on genre]&amp;text_list[Label]),""),"Second",AP35),"Third",AQ35),"Forth",AR35),"Fifth",AS35&amp;" "))</f>
        <v/>
      </c>
      <c r="AH35" t="str">
        <f t="shared" si="9"/>
        <v/>
      </c>
      <c r="AI35" s="25" t="str">
        <f t="array" ref="AI35">IF(SUM(COUNTIF(H35,{"*Deep*";"*Bass*";"*Slap*"})),"**Tiësto**Imanbek**",IF(SUM(COUNTIF(H35,{"*Lo-Fi*"})),"**L.Dre**Yasumu**",IF(SUM(COUNTIF(H35,{"*Tech*"})),"**Mau P**Gorgon City**",IF(SUM(COUNTIF(H35,{"*Indie/Chill Dance*"})),"**Felix Jaehn**Lost Frequencies**",IF(SUM(COUNTIF(H35,{"*Piano*"})),"**Avicii**Eric Prydz**",IF(SUM(COUNTIF(H35,{"*EDM*"})),"**David Guetta**Swedish House Mafia**",IF(H35="","","")))))))</f>
        <v/>
      </c>
      <c r="AN35" s="20" t="str">
        <f>TRIM(SUBSTITUTE(SUBSTITUTE(SUBSTITUTE(A40,"&amp;",","),"feat",","),".",""))</f>
        <v/>
      </c>
      <c r="AO35" s="20" t="str">
        <f ca="1">IFERROR(_xlfn.TEXTBEFORE(AN35,","),AN35)</f>
        <v/>
      </c>
      <c r="AP35" s="20" t="str">
        <f ca="1">IFERROR(TRIM(SUBSTITUTE(SUBSTITUTE(SUBSTITUTE(SUBSTITUTE(_xlfn.TEXTAFTER(AN35,",",1),AQ35,""),AR35,""),AS35,""),",","")),"")</f>
        <v/>
      </c>
      <c r="AQ35" s="20" t="str">
        <f ca="1">IFERROR(SUBSTITUTE(SUBSTITUTE(SUBSTITUTE(_xlfn.TEXTAFTER(AN35,",",2),AR35,""),",",""),AS35,""),"")</f>
        <v/>
      </c>
      <c r="AR35" s="20" t="str">
        <f ca="1">IFERROR(SUBSTITUTE(SUBSTITUTE(_xlfn.TEXTAFTER(AN35,",",3),AS35,""),",",""),"")</f>
        <v/>
      </c>
      <c r="AS35" s="20" t="str">
        <f ca="1">IFERROR(_xlfn.TEXTAFTER(AN35,",",4),"")</f>
        <v/>
      </c>
      <c r="AV35" s="11">
        <v>4</v>
      </c>
      <c r="AW35" s="9" t="s">
        <v>58</v>
      </c>
      <c r="AX35" s="12" t="s">
        <v>124</v>
      </c>
      <c r="AY35" t="e">
        <f ca="1">+_xlfn.TEXTBEFORE(text_list[[#This Row],[Text]],"''''!",,0)</f>
        <v>#NAME?</v>
      </c>
      <c r="AZ35" t="e">
        <f ca="1">+_xlfn.TEXTBEFORE(_xlfn.TEXTAFTER(text_list[[#This Row],[Text]],"'''!"),"Label")</f>
        <v>#NAME?</v>
      </c>
      <c r="BA35" t="e">
        <f ca="1">+_xlfn.TEXTAFTER(text_list[[#This Row],[Text]],text_list[[#This Row],[Type based on genre]])</f>
        <v>#NAME?</v>
      </c>
      <c r="BB35" t="s">
        <v>42</v>
      </c>
      <c r="BE35" t="s">
        <v>152</v>
      </c>
      <c r="BF35" t="s">
        <v>58</v>
      </c>
      <c r="BG35">
        <f t="shared" ref="BG35:BG45" ca="1" si="15">+RAND()</f>
        <v>0.63328026668634885</v>
      </c>
      <c r="BJ35" t="s">
        <v>152</v>
      </c>
      <c r="BK35" t="s">
        <v>138</v>
      </c>
      <c r="BL35">
        <f ca="1">+RAND()</f>
        <v>0.55680415092953772</v>
      </c>
      <c r="BO35" t="s">
        <v>152</v>
      </c>
      <c r="BP35" t="s">
        <v>56</v>
      </c>
      <c r="BQ35">
        <f t="shared" ref="BQ35:BQ45" ca="1" si="16">+RAND()</f>
        <v>0.64297912211220842</v>
      </c>
    </row>
    <row r="36" spans="6:69" x14ac:dyDescent="0.25">
      <c r="F36" s="3"/>
      <c r="O36" s="25" t="str">
        <f t="shared" si="0"/>
        <v/>
      </c>
      <c r="P36" s="25" t="str">
        <f t="shared" si="1"/>
        <v/>
      </c>
      <c r="Q36" s="25" t="str">
        <f t="shared" si="2"/>
        <v/>
      </c>
      <c r="R36" s="25" t="str">
        <f t="array" ref="R36">IF(SUM(COUNTIF(H36,{"*Deep*";"*Bass*";"*Slap*"})),"Citas:Deep House",IF(SUM(COUNTIF(H36,{"*Lo-Fi*"})),"Citas:Lo-Fi",IF(SUM(COUNTIF(H36,{"*Tech*"})),"Citas:Tech House",IF(SUM(COUNTIF(H36,{"*Indie/Chill Dance*"})),"Citas:Indie/Chill Dance",IF(SUM(COUNTIF(H36,{"*Piano*"})),"Citas:Piano House",IF(SUM(COUNTIF(H36,{"*EDM*"})),"edm dance",IF(H36="","","")))))))</f>
        <v/>
      </c>
      <c r="S36" s="25" t="str">
        <f t="array" ref="S36">IF(SUM(COUNTIF(H36,{"*Deep*";"*Bass*";"*Slap*"})),"energetic",IF(SUM(COUNTIF(H36,{"*Lo-Fi*"})),"calm",IF(SUM(COUNTIF(H36,{"*Tech*"})),"energetic",IF(SUM(COUNTIF(H36,{"*Indie/Chill Dance*"})),"chillout",IF(SUM(COUNTIF(H36,{"*Piano*"})),"energetic",IF(SUM(COUNTIF(H36,{"*EDM*"})),"energetic",IF(H36="","","")))))))</f>
        <v/>
      </c>
      <c r="T36" s="25" t="str">
        <f t="array" ref="T36">IF(SUM(COUNTIF(H36,{"*Tech*";"*EDM*";"*Indie*";"*Deep*";"*Piano*";"*Slap*";"*Brazilian Bass*"})),"Song would perfectly fit in any dance mood playlist! Label will invest up to 5000 EUR advertising on facebook and instagram ads aswell as promoting it over label and label partners playlists, radio stations and press.",IF(SUM(COUNTIF(H36,{"*Lo-Fi*"})),"Song would perfectly fit in any Lo-Fi mood playlist! Label will invest up to 5000 EUR advertising on facebook and instagram ads aswell as promoting it over label and label partners playlists, radio stations and press.",IF(H36="","","")))</f>
        <v/>
      </c>
      <c r="U36" s="25" t="str">
        <f t="shared" si="3"/>
        <v/>
      </c>
      <c r="V36" s="25" t="str">
        <f t="shared" si="4"/>
        <v/>
      </c>
      <c r="AB36" s="25" t="str">
        <f t="array" ref="AB36">IF(SUM(COUNTIF(H36,{"*Deep*";"*Bass*";"*Slap*"})),"Samples,Synthesizer,Bass Guitar,Piano,Drum Kit,Electric Guitar",IF(SUM(COUNTIF(H36,{"*Lo-Fi*"})),"Samples,Synthesizer,Bass Guitar,Piano,Drum Kit,Electric Guitar",IF(SUM(COUNTIF(H36,{"*Tech*"})),"Samples,Synthesizer,Bass Guitar,Piano,Drum Kit,Electric Guitar",IF(SUM(COUNTIF(H36,{"*Indie/Chill Dance*"})),"Samples,Synthesizer,Bass Guitar,Piano,Drum Kit,Electric Guitar",IF(SUM(COUNTIF(H36,{"*Piano*"})),"Samples,Synthesizer,Bass Guitar,Piano,Drum Kit,Electric Guitar",IF(SUM(COUNTIF(H36,{"*EDM*"})),"Samples,Synthesizer,Bass Guitar,Piano,Drum Kit,Electric Guitar",IF(H36="","","")))))))</f>
        <v/>
      </c>
      <c r="AF36" s="25" t="str">
        <f t="array" aca="1" ref="AF36" ca="1">+TRIM(SUBSTITUTE(SUBSTITUTE(SUBSTITUTE(SUBSTITUTE(IFERROR(AO36&amp;" "&amp;+_xlfn.XLOOKUP(((SUM(LEN(AN36))-SUM(LEN(SUBSTITUTE(AN36,",",""))))/LEN(",")+1)&amp;H36,AV:AV&amp;AW:AW,AY:AY)&amp;CHAR(34)&amp;B36&amp;CHAR(34)&amp;"!"&amp;_xlfn.XLOOKUP(H36,text_list[Genre],text_list[Type based on genre]&amp;text_list[Label]),""),"Second",AP36),"Third",AQ36),"Forth",AR36),"Fifth",AS36&amp;" "))</f>
        <v/>
      </c>
      <c r="AH36" t="str">
        <f t="shared" si="9"/>
        <v/>
      </c>
      <c r="AI36" s="25" t="str">
        <f t="array" ref="AI36">IF(SUM(COUNTIF(H36,{"*Deep*";"*Bass*";"*Slap*"})),"**Tiësto**Imanbek**",IF(SUM(COUNTIF(H36,{"*Lo-Fi*"})),"**L.Dre**Yasumu**",IF(SUM(COUNTIF(H36,{"*Tech*"})),"**Mau P**Gorgon City**",IF(SUM(COUNTIF(H36,{"*Indie/Chill Dance*"})),"**Felix Jaehn**Lost Frequencies**",IF(SUM(COUNTIF(H36,{"*Piano*"})),"**Avicii**Eric Prydz**",IF(SUM(COUNTIF(H36,{"*EDM*"})),"**David Guetta**Swedish House Mafia**",IF(H36="","","")))))))</f>
        <v/>
      </c>
      <c r="AN36" s="20" t="str">
        <f>TRIM(SUBSTITUTE(SUBSTITUTE(SUBSTITUTE(A41,"&amp;",","),"feat",","),".",""))</f>
        <v/>
      </c>
      <c r="AO36" s="20" t="str">
        <f ca="1">IFERROR(_xlfn.TEXTBEFORE(AN36,","),AN36)</f>
        <v/>
      </c>
      <c r="AP36" s="20" t="str">
        <f ca="1">IFERROR(TRIM(SUBSTITUTE(SUBSTITUTE(SUBSTITUTE(SUBSTITUTE(_xlfn.TEXTAFTER(AN36,",",1),AQ36,""),AR36,""),AS36,""),",","")),"")</f>
        <v/>
      </c>
      <c r="AQ36" s="20" t="str">
        <f ca="1">IFERROR(SUBSTITUTE(SUBSTITUTE(SUBSTITUTE(_xlfn.TEXTAFTER(AN36,",",2),AR36,""),",",""),AS36,""),"")</f>
        <v/>
      </c>
      <c r="AR36" s="20" t="str">
        <f ca="1">IFERROR(SUBSTITUTE(SUBSTITUTE(_xlfn.TEXTAFTER(AN36,",",3),AS36,""),",",""),"")</f>
        <v/>
      </c>
      <c r="AS36" s="20" t="str">
        <f ca="1">IFERROR(_xlfn.TEXTAFTER(AN36,",",4),"")</f>
        <v/>
      </c>
      <c r="AV36" s="13">
        <v>5</v>
      </c>
      <c r="AW36" s="14" t="s">
        <v>58</v>
      </c>
      <c r="AX36" s="15" t="s">
        <v>168</v>
      </c>
      <c r="AY36" t="e">
        <f ca="1">+_xlfn.TEXTBEFORE(text_list[[#This Row],[Text]],"''''!",,0)</f>
        <v>#NAME?</v>
      </c>
      <c r="AZ36" t="e">
        <f ca="1">+_xlfn.TEXTBEFORE(_xlfn.TEXTAFTER(text_list[[#This Row],[Text]],"'''!"),"Label")</f>
        <v>#NAME?</v>
      </c>
      <c r="BA36" t="e">
        <f ca="1">+_xlfn.TEXTAFTER(text_list[[#This Row],[Text]],text_list[[#This Row],[Type based on genre]])</f>
        <v>#NAME?</v>
      </c>
      <c r="BB36" t="s">
        <v>42</v>
      </c>
      <c r="BE36" t="s">
        <v>154</v>
      </c>
      <c r="BF36" t="s">
        <v>58</v>
      </c>
      <c r="BG36">
        <f t="shared" ca="1" si="15"/>
        <v>0.75415010750209521</v>
      </c>
      <c r="BJ36" t="s">
        <v>156</v>
      </c>
      <c r="BK36" t="s">
        <v>138</v>
      </c>
      <c r="BL36">
        <f ca="1">+RAND()</f>
        <v>0.8507303327521113</v>
      </c>
      <c r="BO36" t="s">
        <v>154</v>
      </c>
      <c r="BP36" t="s">
        <v>56</v>
      </c>
      <c r="BQ36">
        <f t="shared" ca="1" si="16"/>
        <v>0.54026389346878978</v>
      </c>
    </row>
    <row r="37" spans="6:69" x14ac:dyDescent="0.25">
      <c r="F37" s="3"/>
      <c r="O37" s="25" t="str">
        <f t="shared" si="0"/>
        <v/>
      </c>
      <c r="P37" s="25" t="str">
        <f t="shared" si="1"/>
        <v/>
      </c>
      <c r="Q37" s="25" t="str">
        <f t="shared" si="2"/>
        <v/>
      </c>
      <c r="R37" s="25" t="str">
        <f t="array" ref="R37">IF(SUM(COUNTIF(H37,{"*Deep*";"*Bass*";"*Slap*"})),"Citas:Deep House",IF(SUM(COUNTIF(H37,{"*Lo-Fi*"})),"Citas:Lo-Fi",IF(SUM(COUNTIF(H37,{"*Tech*"})),"Citas:Tech House",IF(SUM(COUNTIF(H37,{"*Indie/Chill Dance*"})),"Citas:Indie/Chill Dance",IF(SUM(COUNTIF(H37,{"*Piano*"})),"Citas:Piano House",IF(SUM(COUNTIF(H37,{"*EDM*"})),"edm dance",IF(H37="","","")))))))</f>
        <v/>
      </c>
      <c r="S37" s="25" t="str">
        <f t="array" ref="S37">IF(SUM(COUNTIF(H37,{"*Deep*";"*Bass*";"*Slap*"})),"energetic",IF(SUM(COUNTIF(H37,{"*Lo-Fi*"})),"calm",IF(SUM(COUNTIF(H37,{"*Tech*"})),"energetic",IF(SUM(COUNTIF(H37,{"*Indie/Chill Dance*"})),"chillout",IF(SUM(COUNTIF(H37,{"*Piano*"})),"energetic",IF(SUM(COUNTIF(H37,{"*EDM*"})),"energetic",IF(H37="","","")))))))</f>
        <v/>
      </c>
      <c r="T37" s="25" t="str">
        <f t="array" ref="T37">IF(SUM(COUNTIF(H37,{"*Tech*";"*EDM*";"*Indie*";"*Deep*";"*Piano*";"*Slap*";"*Brazilian Bass*"})),"Song would perfectly fit in any dance mood playlist! Label will invest up to 5000 EUR advertising on facebook and instagram ads aswell as promoting it over label and label partners playlists, radio stations and press.",IF(SUM(COUNTIF(H37,{"*Lo-Fi*"})),"Song would perfectly fit in any Lo-Fi mood playlist! Label will invest up to 5000 EUR advertising on facebook and instagram ads aswell as promoting it over label and label partners playlists, radio stations and press.",IF(H37="","","")))</f>
        <v/>
      </c>
      <c r="U37" s="25" t="str">
        <f t="shared" si="3"/>
        <v/>
      </c>
      <c r="V37" s="25" t="str">
        <f t="shared" si="4"/>
        <v/>
      </c>
      <c r="AB37" s="25" t="str">
        <f t="array" ref="AB37">IF(SUM(COUNTIF(H37,{"*Deep*";"*Bass*";"*Slap*"})),"Samples,Synthesizer,Bass Guitar,Piano,Drum Kit,Electric Guitar",IF(SUM(COUNTIF(H37,{"*Lo-Fi*"})),"Samples,Synthesizer,Bass Guitar,Piano,Drum Kit,Electric Guitar",IF(SUM(COUNTIF(H37,{"*Tech*"})),"Samples,Synthesizer,Bass Guitar,Piano,Drum Kit,Electric Guitar",IF(SUM(COUNTIF(H37,{"*Indie/Chill Dance*"})),"Samples,Synthesizer,Bass Guitar,Piano,Drum Kit,Electric Guitar",IF(SUM(COUNTIF(H37,{"*Piano*"})),"Samples,Synthesizer,Bass Guitar,Piano,Drum Kit,Electric Guitar",IF(SUM(COUNTIF(H37,{"*EDM*"})),"Samples,Synthesizer,Bass Guitar,Piano,Drum Kit,Electric Guitar",IF(H37="","","")))))))</f>
        <v/>
      </c>
      <c r="AF37" s="25" t="str">
        <f t="array" aca="1" ref="AF37" ca="1">+TRIM(SUBSTITUTE(SUBSTITUTE(SUBSTITUTE(SUBSTITUTE(IFERROR(AO37&amp;" "&amp;+_xlfn.XLOOKUP(((SUM(LEN(AN37))-SUM(LEN(SUBSTITUTE(AN37,",",""))))/LEN(",")+1)&amp;H37,AV:AV&amp;AW:AW,AY:AY)&amp;CHAR(34)&amp;B37&amp;CHAR(34)&amp;"!"&amp;_xlfn.XLOOKUP(H37,text_list[Genre],text_list[Type based on genre]&amp;text_list[Label]),""),"Second",AP37),"Third",AQ37),"Forth",AR37),"Fifth",AS37&amp;" "))</f>
        <v/>
      </c>
      <c r="AH37" t="str">
        <f t="shared" si="9"/>
        <v/>
      </c>
      <c r="AI37" s="25" t="str">
        <f t="array" ref="AI37">IF(SUM(COUNTIF(H37,{"*Deep*";"*Bass*";"*Slap*"})),"**Tiësto**Imanbek**",IF(SUM(COUNTIF(H37,{"*Lo-Fi*"})),"**L.Dre**Yasumu**",IF(SUM(COUNTIF(H37,{"*Tech*"})),"**Mau P**Gorgon City**",IF(SUM(COUNTIF(H37,{"*Indie/Chill Dance*"})),"**Felix Jaehn**Lost Frequencies**",IF(SUM(COUNTIF(H37,{"*Piano*"})),"**Avicii**Eric Prydz**",IF(SUM(COUNTIF(H37,{"*EDM*"})),"**David Guetta**Swedish House Mafia**",IF(H37="","","")))))))</f>
        <v/>
      </c>
      <c r="AN37" s="20" t="str">
        <f>TRIM(SUBSTITUTE(SUBSTITUTE(SUBSTITUTE(A42,"&amp;",","),"feat",","),".",""))</f>
        <v/>
      </c>
      <c r="AO37" s="20" t="str">
        <f ca="1">IFERROR(_xlfn.TEXTBEFORE(AN37,","),AN37)</f>
        <v/>
      </c>
      <c r="AP37" s="20" t="str">
        <f ca="1">IFERROR(TRIM(SUBSTITUTE(SUBSTITUTE(SUBSTITUTE(SUBSTITUTE(_xlfn.TEXTAFTER(AN37,",",1),AQ37,""),AR37,""),AS37,""),",","")),"")</f>
        <v/>
      </c>
      <c r="AQ37" s="20" t="str">
        <f ca="1">IFERROR(SUBSTITUTE(SUBSTITUTE(SUBSTITUTE(_xlfn.TEXTAFTER(AN37,",",2),AR37,""),",",""),AS37,""),"")</f>
        <v/>
      </c>
      <c r="AR37" s="20" t="str">
        <f ca="1">IFERROR(SUBSTITUTE(SUBSTITUTE(_xlfn.TEXTAFTER(AN37,",",3),AS37,""),",",""),"")</f>
        <v/>
      </c>
      <c r="AS37" s="20" t="str">
        <f ca="1">IFERROR(_xlfn.TEXTAFTER(AN37,",",4),"")</f>
        <v/>
      </c>
      <c r="AV37" s="13">
        <v>1</v>
      </c>
      <c r="AW37" s="14" t="s">
        <v>59</v>
      </c>
      <c r="AX37" s="12" t="s">
        <v>41</v>
      </c>
      <c r="AY37" t="e">
        <f ca="1">+_xlfn.TEXTBEFORE(text_list[[#This Row],[Text]],"''''!",,0)</f>
        <v>#NAME?</v>
      </c>
      <c r="AZ37" t="e">
        <f ca="1">+_xlfn.TEXTBEFORE(_xlfn.TEXTAFTER(text_list[[#This Row],[Text]],"'''!"),"Label")</f>
        <v>#NAME?</v>
      </c>
      <c r="BA37" t="e">
        <f ca="1">+_xlfn.TEXTAFTER(text_list[[#This Row],[Text]],text_list[[#This Row],[Type based on genre]])</f>
        <v>#NAME?</v>
      </c>
      <c r="BE37" t="s">
        <v>156</v>
      </c>
      <c r="BF37" t="s">
        <v>58</v>
      </c>
      <c r="BG37">
        <f t="shared" ca="1" si="15"/>
        <v>0.89280946829980889</v>
      </c>
      <c r="BJ37" t="s">
        <v>160</v>
      </c>
      <c r="BK37" t="s">
        <v>138</v>
      </c>
      <c r="BL37">
        <f ca="1">+RAND()</f>
        <v>0.45664530378857227</v>
      </c>
      <c r="BO37" t="s">
        <v>156</v>
      </c>
      <c r="BP37" t="s">
        <v>56</v>
      </c>
      <c r="BQ37">
        <f t="shared" ca="1" si="16"/>
        <v>0.10931450717128144</v>
      </c>
    </row>
    <row r="38" spans="6:69" x14ac:dyDescent="0.25">
      <c r="F38" s="3"/>
      <c r="O38" s="25" t="str">
        <f t="shared" si="0"/>
        <v/>
      </c>
      <c r="P38" s="25" t="str">
        <f t="shared" si="1"/>
        <v/>
      </c>
      <c r="Q38" s="25" t="str">
        <f t="shared" si="2"/>
        <v/>
      </c>
      <c r="R38" s="25" t="str">
        <f t="array" ref="R38">IF(SUM(COUNTIF(H38,{"*Deep*";"*Bass*";"*Slap*"})),"Citas:Deep House",IF(SUM(COUNTIF(H38,{"*Lo-Fi*"})),"Citas:Lo-Fi",IF(SUM(COUNTIF(H38,{"*Tech*"})),"Citas:Tech House",IF(SUM(COUNTIF(H38,{"*Indie/Chill Dance*"})),"Citas:Indie/Chill Dance",IF(SUM(COUNTIF(H38,{"*Piano*"})),"Citas:Piano House",IF(SUM(COUNTIF(H38,{"*EDM*"})),"edm dance",IF(H38="","","")))))))</f>
        <v/>
      </c>
      <c r="S38" s="25" t="str">
        <f t="array" ref="S38">IF(SUM(COUNTIF(H38,{"*Deep*";"*Bass*";"*Slap*"})),"energetic",IF(SUM(COUNTIF(H38,{"*Lo-Fi*"})),"calm",IF(SUM(COUNTIF(H38,{"*Tech*"})),"energetic",IF(SUM(COUNTIF(H38,{"*Indie/Chill Dance*"})),"chillout",IF(SUM(COUNTIF(H38,{"*Piano*"})),"energetic",IF(SUM(COUNTIF(H38,{"*EDM*"})),"energetic",IF(H38="","","")))))))</f>
        <v/>
      </c>
      <c r="T38" s="25" t="str">
        <f t="array" ref="T38">IF(SUM(COUNTIF(H38,{"*Tech*";"*EDM*";"*Indie*";"*Deep*";"*Piano*";"*Slap*";"*Brazilian Bass*"})),"Song would perfectly fit in any dance mood playlist! Label will invest up to 5000 EUR advertising on facebook and instagram ads aswell as promoting it over label and label partners playlists, radio stations and press.",IF(SUM(COUNTIF(H38,{"*Lo-Fi*"})),"Song would perfectly fit in any Lo-Fi mood playlist! Label will invest up to 5000 EUR advertising on facebook and instagram ads aswell as promoting it over label and label partners playlists, radio stations and press.",IF(H38="","","")))</f>
        <v/>
      </c>
      <c r="V38" s="25" t="str">
        <f t="shared" si="4"/>
        <v/>
      </c>
      <c r="AB38" s="25" t="str">
        <f t="array" ref="AB38">IF(SUM(COUNTIF(H38,{"*Deep*";"*Bass*";"*Slap*"})),"Samples,Synthesizer,Bass Guitar,Piano,Drum Kit,Electric Guitar",IF(SUM(COUNTIF(H38,{"*Lo-Fi*"})),"Samples,Synthesizer,Bass Guitar,Piano,Drum Kit,Electric Guitar",IF(SUM(COUNTIF(H38,{"*Tech*"})),"Samples,Synthesizer,Bass Guitar,Piano,Drum Kit,Electric Guitar",IF(SUM(COUNTIF(H38,{"*Indie/Chill Dance*"})),"Samples,Synthesizer,Bass Guitar,Piano,Drum Kit,Electric Guitar",IF(SUM(COUNTIF(H38,{"*Piano*"})),"Samples,Synthesizer,Bass Guitar,Piano,Drum Kit,Electric Guitar",IF(SUM(COUNTIF(H38,{"*EDM*"})),"Samples,Synthesizer,Bass Guitar,Piano,Drum Kit,Electric Guitar",IF(H38="","","")))))))</f>
        <v/>
      </c>
      <c r="AF38" s="25" t="str">
        <f t="array" aca="1" ref="AF38" ca="1">+TRIM(SUBSTITUTE(SUBSTITUTE(SUBSTITUTE(SUBSTITUTE(IFERROR(AO38&amp;" "&amp;+_xlfn.XLOOKUP(((SUM(LEN(AN38))-SUM(LEN(SUBSTITUTE(AN38,",",""))))/LEN(",")+1)&amp;H38,AV:AV&amp;AW:AW,AY:AY)&amp;CHAR(34)&amp;B38&amp;CHAR(34)&amp;"!"&amp;_xlfn.XLOOKUP(H38,text_list[Genre],text_list[Type based on genre]&amp;text_list[Label]),""),"Second",AP38),"Third",AQ38),"Forth",AR38),"Fifth",AS38&amp;" "))</f>
        <v/>
      </c>
      <c r="AH38" t="str">
        <f t="shared" si="9"/>
        <v/>
      </c>
      <c r="AI38" s="25" t="str">
        <f t="array" ref="AI38">IF(SUM(COUNTIF(H38,{"*Deep*";"*Bass*";"*Slap*"})),"**Tiësto**Imanbek**",IF(SUM(COUNTIF(H38,{"*Lo-Fi*"})),"**L.Dre**Yasumu**",IF(SUM(COUNTIF(H38,{"*Tech*"})),"**Mau P**Gorgon City**",IF(SUM(COUNTIF(H38,{"*Indie/Chill Dance*"})),"**Felix Jaehn**Lost Frequencies**",IF(SUM(COUNTIF(H38,{"*Piano*"})),"**Avicii**Eric Prydz**",IF(SUM(COUNTIF(H38,{"*EDM*"})),"**David Guetta**Swedish House Mafia**",IF(H38="","","")))))))</f>
        <v/>
      </c>
      <c r="AN38" s="20" t="str">
        <f>TRIM(SUBSTITUTE(SUBSTITUTE(SUBSTITUTE(A43,"&amp;",","),"feat",","),".",""))</f>
        <v/>
      </c>
      <c r="AO38" s="20" t="str">
        <f ca="1">IFERROR(_xlfn.TEXTBEFORE(AN38,","),AN38)</f>
        <v/>
      </c>
      <c r="AP38" s="20" t="str">
        <f ca="1">IFERROR(TRIM(SUBSTITUTE(SUBSTITUTE(SUBSTITUTE(SUBSTITUTE(_xlfn.TEXTAFTER(AN38,",",1),AQ38,""),AR38,""),AS38,""),",","")),"")</f>
        <v/>
      </c>
      <c r="AQ38" s="20" t="str">
        <f ca="1">IFERROR(SUBSTITUTE(SUBSTITUTE(SUBSTITUTE(_xlfn.TEXTAFTER(AN38,",",2),AR38,""),",",""),AS38,""),"")</f>
        <v/>
      </c>
      <c r="AR38" s="20" t="str">
        <f ca="1">IFERROR(SUBSTITUTE(SUBSTITUTE(_xlfn.TEXTAFTER(AN38,",",3),AS38,""),",",""),"")</f>
        <v/>
      </c>
      <c r="AS38" s="20" t="str">
        <f ca="1">IFERROR(_xlfn.TEXTAFTER(AN38,",",4),"")</f>
        <v/>
      </c>
      <c r="AV38" s="11">
        <v>2</v>
      </c>
      <c r="AW38" s="14" t="s">
        <v>59</v>
      </c>
      <c r="AX38" s="12" t="s">
        <v>47</v>
      </c>
      <c r="AY38" t="e">
        <f ca="1">+_xlfn.TEXTBEFORE(text_list[[#This Row],[Text]],"''''!",,0)</f>
        <v>#NAME?</v>
      </c>
      <c r="AZ38" t="e">
        <f ca="1">+_xlfn.TEXTBEFORE(_xlfn.TEXTAFTER(text_list[[#This Row],[Text]],"'''!"),"Label")</f>
        <v>#NAME?</v>
      </c>
      <c r="BA38" t="e">
        <f ca="1">+_xlfn.TEXTAFTER(text_list[[#This Row],[Text]],text_list[[#This Row],[Type based on genre]])</f>
        <v>#NAME?</v>
      </c>
      <c r="BE38" t="s">
        <v>158</v>
      </c>
      <c r="BF38" t="s">
        <v>58</v>
      </c>
      <c r="BG38">
        <f t="shared" ca="1" si="15"/>
        <v>8.1460933985937456E-2</v>
      </c>
      <c r="BJ38" t="s">
        <v>164</v>
      </c>
      <c r="BK38" t="s">
        <v>138</v>
      </c>
      <c r="BL38">
        <f ca="1">+RAND()</f>
        <v>0.16830184895247324</v>
      </c>
      <c r="BO38" t="s">
        <v>158</v>
      </c>
      <c r="BP38" t="s">
        <v>56</v>
      </c>
      <c r="BQ38">
        <f t="shared" ca="1" si="16"/>
        <v>0.13233610580002875</v>
      </c>
    </row>
    <row r="39" spans="6:69" x14ac:dyDescent="0.25">
      <c r="F39" s="3"/>
      <c r="O39" s="25" t="str">
        <f t="shared" si="0"/>
        <v/>
      </c>
      <c r="P39" s="25" t="str">
        <f t="shared" si="1"/>
        <v/>
      </c>
      <c r="Q39" s="25" t="str">
        <f t="shared" si="2"/>
        <v/>
      </c>
      <c r="R39" s="25" t="str">
        <f t="array" ref="R39">IF(SUM(COUNTIF(H39,{"*Deep*";"*Bass*";"*Slap*"})),"Citas:Deep House",IF(SUM(COUNTIF(H39,{"*Lo-Fi*"})),"Citas:Lo-Fi",IF(SUM(COUNTIF(H39,{"*Tech*"})),"Citas:Tech House",IF(SUM(COUNTIF(H39,{"*Indie/Chill Dance*"})),"Citas:Indie/Chill Dance",IF(SUM(COUNTIF(H39,{"*Piano*"})),"Citas:Piano House",IF(SUM(COUNTIF(H39,{"*EDM*"})),"edm dance",IF(H39="","","")))))))</f>
        <v/>
      </c>
      <c r="S39" s="25" t="str">
        <f t="array" ref="S39">IF(SUM(COUNTIF(H39,{"*Deep*";"*Bass*";"*Slap*"})),"energetic",IF(SUM(COUNTIF(H39,{"*Lo-Fi*"})),"calm",IF(SUM(COUNTIF(H39,{"*Tech*"})),"energetic",IF(SUM(COUNTIF(H39,{"*Indie/Chill Dance*"})),"chillout",IF(SUM(COUNTIF(H39,{"*Piano*"})),"energetic",IF(SUM(COUNTIF(H39,{"*EDM*"})),"energetic",IF(H39="","","")))))))</f>
        <v/>
      </c>
      <c r="T39" s="25" t="str">
        <f t="array" ref="T39">IF(SUM(COUNTIF(H39,{"*Tech*";"*EDM*";"*Indie*";"*Deep*";"*Piano*";"*Slap*";"*Brazilian Bass*"})),"Song would perfectly fit in any dance mood playlist! Label will invest up to 5000 EUR advertising on facebook and instagram ads aswell as promoting it over label and label partners playlists, radio stations and press.",IF(SUM(COUNTIF(H39,{"*Lo-Fi*"})),"Song would perfectly fit in any Lo-Fi mood playlist! Label will invest up to 5000 EUR advertising on facebook and instagram ads aswell as promoting it over label and label partners playlists, radio stations and press.",IF(H39="","","")))</f>
        <v/>
      </c>
      <c r="AB39" s="25" t="str">
        <f t="array" ref="AB39">IF(SUM(COUNTIF(H39,{"*Deep*";"*Bass*";"*Slap*"})),"Samples,Synthesizer,Bass Guitar,Piano,Drum Kit,Electric Guitar",IF(SUM(COUNTIF(H39,{"*Lo-Fi*"})),"Samples,Synthesizer,Bass Guitar,Piano,Drum Kit,Electric Guitar",IF(SUM(COUNTIF(H39,{"*Tech*"})),"Samples,Synthesizer,Bass Guitar,Piano,Drum Kit,Electric Guitar",IF(SUM(COUNTIF(H39,{"*Indie/Chill Dance*"})),"Samples,Synthesizer,Bass Guitar,Piano,Drum Kit,Electric Guitar",IF(SUM(COUNTIF(H39,{"*Piano*"})),"Samples,Synthesizer,Bass Guitar,Piano,Drum Kit,Electric Guitar",IF(SUM(COUNTIF(H39,{"*EDM*"})),"Samples,Synthesizer,Bass Guitar,Piano,Drum Kit,Electric Guitar",IF(H39="","","")))))))</f>
        <v/>
      </c>
      <c r="AF39" s="25" t="str">
        <f t="array" aca="1" ref="AF39" ca="1">+TRIM(SUBSTITUTE(SUBSTITUTE(SUBSTITUTE(SUBSTITUTE(IFERROR(AO39&amp;" "&amp;+_xlfn.XLOOKUP(((SUM(LEN(AN39))-SUM(LEN(SUBSTITUTE(AN39,",",""))))/LEN(",")+1)&amp;H39,AV:AV&amp;AW:AW,AY:AY)&amp;CHAR(34)&amp;B39&amp;CHAR(34)&amp;"!"&amp;_xlfn.XLOOKUP(H39,text_list[Genre],text_list[Type based on genre]&amp;text_list[Label]),""),"Second",AP39),"Third",AQ39),"Forth",AR39),"Fifth",AS39&amp;" "))</f>
        <v/>
      </c>
      <c r="AH39" t="str">
        <f t="shared" si="9"/>
        <v/>
      </c>
      <c r="AI39" s="25" t="str">
        <f t="array" ref="AI39">IF(SUM(COUNTIF(H39,{"*Deep*";"*Bass*";"*Slap*"})),"**Tiësto**Imanbek**",IF(SUM(COUNTIF(H39,{"*Lo-Fi*"})),"**L.Dre**Yasumu**",IF(SUM(COUNTIF(H39,{"*Tech*"})),"**Mau P**Gorgon City**",IF(SUM(COUNTIF(H39,{"*Indie/Chill Dance*"})),"**Felix Jaehn**Lost Frequencies**",IF(SUM(COUNTIF(H39,{"*Piano*"})),"**Avicii**Eric Prydz**",IF(SUM(COUNTIF(H39,{"*EDM*"})),"**David Guetta**Swedish House Mafia**",IF(H39="","","")))))))</f>
        <v/>
      </c>
      <c r="AN39" s="20" t="str">
        <f>TRIM(SUBSTITUTE(SUBSTITUTE(SUBSTITUTE(A44,"&amp;",","),"feat",","),".",""))</f>
        <v/>
      </c>
      <c r="AO39" s="20" t="str">
        <f ca="1">IFERROR(_xlfn.TEXTBEFORE(AN39,","),AN39)</f>
        <v/>
      </c>
      <c r="AP39" s="20" t="str">
        <f ca="1">IFERROR(TRIM(SUBSTITUTE(SUBSTITUTE(SUBSTITUTE(SUBSTITUTE(_xlfn.TEXTAFTER(AN39,",",1),AQ39,""),AR39,""),AS39,""),",","")),"")</f>
        <v/>
      </c>
      <c r="AQ39" s="20" t="str">
        <f ca="1">IFERROR(SUBSTITUTE(SUBSTITUTE(SUBSTITUTE(_xlfn.TEXTAFTER(AN39,",",2),AR39,""),",",""),AS39,""),"")</f>
        <v/>
      </c>
      <c r="AR39" s="20" t="str">
        <f ca="1">IFERROR(SUBSTITUTE(SUBSTITUTE(_xlfn.TEXTAFTER(AN39,",",3),AS39,""),",",""),"")</f>
        <v/>
      </c>
      <c r="AS39" s="20" t="str">
        <f ca="1">IFERROR(_xlfn.TEXTAFTER(AN39,",",4),"")</f>
        <v/>
      </c>
      <c r="AV39" s="11">
        <v>3</v>
      </c>
      <c r="AW39" s="14" t="s">
        <v>59</v>
      </c>
      <c r="AX39" s="12" t="s">
        <v>69</v>
      </c>
      <c r="AY39" t="e">
        <f ca="1">+_xlfn.TEXTBEFORE(text_list[[#This Row],[Text]],"''''!",,0)</f>
        <v>#NAME?</v>
      </c>
      <c r="AZ39" t="e">
        <f ca="1">+_xlfn.TEXTBEFORE(_xlfn.TEXTAFTER(text_list[[#This Row],[Text]],"'''!"),"Label")</f>
        <v>#NAME?</v>
      </c>
      <c r="BA39" t="e">
        <f ca="1">+_xlfn.TEXTAFTER(text_list[[#This Row],[Text]],text_list[[#This Row],[Type based on genre]])</f>
        <v>#NAME?</v>
      </c>
      <c r="BE39" t="s">
        <v>160</v>
      </c>
      <c r="BF39" t="s">
        <v>58</v>
      </c>
      <c r="BG39">
        <f t="shared" ca="1" si="15"/>
        <v>0.79603985690906287</v>
      </c>
      <c r="BJ39" t="s">
        <v>167</v>
      </c>
      <c r="BK39" t="s">
        <v>138</v>
      </c>
      <c r="BL39">
        <f ca="1">+RAND()</f>
        <v>0.59572681631637325</v>
      </c>
      <c r="BO39" t="s">
        <v>160</v>
      </c>
      <c r="BP39" t="s">
        <v>56</v>
      </c>
      <c r="BQ39">
        <f t="shared" ca="1" si="16"/>
        <v>0.68900780521377714</v>
      </c>
    </row>
    <row r="40" spans="6:69" x14ac:dyDescent="0.25">
      <c r="F40" s="3"/>
      <c r="O40" s="25" t="str">
        <f t="shared" si="0"/>
        <v/>
      </c>
      <c r="P40" s="25" t="str">
        <f t="shared" si="1"/>
        <v/>
      </c>
      <c r="Q40" s="25" t="str">
        <f t="shared" si="2"/>
        <v/>
      </c>
      <c r="R40" s="25" t="str">
        <f t="array" ref="R40">IF(SUM(COUNTIF(H40,{"*Deep*";"*Bass*";"*Slap*"})),"Citas:Deep House",IF(SUM(COUNTIF(H40,{"*Lo-Fi*"})),"Citas:Lo-Fi",IF(SUM(COUNTIF(H40,{"*Tech*"})),"Citas:Tech House",IF(SUM(COUNTIF(H40,{"*Indie/Chill Dance*"})),"Citas:Indie/Chill Dance",IF(SUM(COUNTIF(H40,{"*Piano*"})),"Citas:Piano House",IF(SUM(COUNTIF(H40,{"*EDM*"})),"edm dance",IF(H40="","","")))))))</f>
        <v/>
      </c>
      <c r="S40" s="25" t="str">
        <f t="array" ref="S40">IF(SUM(COUNTIF(H40,{"*Deep*";"*Bass*";"*Slap*"})),"energetic",IF(SUM(COUNTIF(H40,{"*Lo-Fi*"})),"calm",IF(SUM(COUNTIF(H40,{"*Tech*"})),"energetic",IF(SUM(COUNTIF(H40,{"*Indie/Chill Dance*"})),"chillout",IF(SUM(COUNTIF(H40,{"*Piano*"})),"energetic",IF(SUM(COUNTIF(H40,{"*EDM*"})),"energetic",IF(H40="","","")))))))</f>
        <v/>
      </c>
      <c r="T40" s="25" t="str">
        <f t="array" ref="T40">IF(SUM(COUNTIF(H40,{"*Tech*";"*EDM*";"*Indie*";"*Deep*";"*Piano*";"*Slap*";"*Brazilian Bass*"})),"Song would perfectly fit in any dance mood playlist! Label will invest up to 5000 EUR advertising on facebook and instagram ads aswell as promoting it over label and label partners playlists, radio stations and press.",IF(SUM(COUNTIF(H40,{"*Lo-Fi*"})),"Song would perfectly fit in any Lo-Fi mood playlist! Label will invest up to 5000 EUR advertising on facebook and instagram ads aswell as promoting it over label and label partners playlists, radio stations and press.",IF(H40="","","")))</f>
        <v/>
      </c>
      <c r="AB40" s="25" t="str">
        <f t="array" ref="AB40">IF(SUM(COUNTIF(H40,{"*Deep*";"*Bass*";"*Slap*"})),"Samples,Synthesizer,Bass Guitar,Piano,Drum Kit,Electric Guitar",IF(SUM(COUNTIF(H40,{"*Lo-Fi*"})),"Samples,Synthesizer,Bass Guitar,Piano,Drum Kit,Electric Guitar",IF(SUM(COUNTIF(H40,{"*Tech*"})),"Samples,Synthesizer,Bass Guitar,Piano,Drum Kit,Electric Guitar",IF(SUM(COUNTIF(H40,{"*Indie/Chill Dance*"})),"Samples,Synthesizer,Bass Guitar,Piano,Drum Kit,Electric Guitar",IF(SUM(COUNTIF(H40,{"*Piano*"})),"Samples,Synthesizer,Bass Guitar,Piano,Drum Kit,Electric Guitar",IF(SUM(COUNTIF(H40,{"*EDM*"})),"Samples,Synthesizer,Bass Guitar,Piano,Drum Kit,Electric Guitar",IF(H40="","","")))))))</f>
        <v/>
      </c>
      <c r="AF40" s="25" t="str">
        <f t="array" aca="1" ref="AF40" ca="1">+TRIM(SUBSTITUTE(SUBSTITUTE(SUBSTITUTE(SUBSTITUTE(IFERROR(AO40&amp;" "&amp;+_xlfn.XLOOKUP(((SUM(LEN(AN40))-SUM(LEN(SUBSTITUTE(AN40,",",""))))/LEN(",")+1)&amp;H40,AV:AV&amp;AW:AW,AY:AY)&amp;CHAR(34)&amp;B40&amp;CHAR(34)&amp;"!"&amp;_xlfn.XLOOKUP(H40,text_list[Genre],text_list[Type based on genre]&amp;text_list[Label]),""),"Second",AP40),"Third",AQ40),"Forth",AR40),"Fifth",AS40&amp;" "))</f>
        <v/>
      </c>
      <c r="AH40" t="str">
        <f t="shared" si="9"/>
        <v/>
      </c>
      <c r="AI40" s="25" t="str">
        <f t="array" ref="AI40">IF(SUM(COUNTIF(H40,{"*Deep*";"*Bass*";"*Slap*"})),"**Tiësto**Imanbek**",IF(SUM(COUNTIF(H40,{"*Lo-Fi*"})),"**L.Dre**Yasumu**",IF(SUM(COUNTIF(H40,{"*Tech*"})),"**Mau P**Gorgon City**",IF(SUM(COUNTIF(H40,{"*Indie/Chill Dance*"})),"**Felix Jaehn**Lost Frequencies**",IF(SUM(COUNTIF(H40,{"*Piano*"})),"**Avicii**Eric Prydz**",IF(SUM(COUNTIF(H40,{"*EDM*"})),"**David Guetta**Swedish House Mafia**",IF(H40="","","")))))))</f>
        <v/>
      </c>
      <c r="AN40" s="20" t="str">
        <f>TRIM(SUBSTITUTE(SUBSTITUTE(SUBSTITUTE(A45,"&amp;",","),"feat",","),".",""))</f>
        <v/>
      </c>
      <c r="AO40" s="20" t="str">
        <f ca="1">IFERROR(_xlfn.TEXTBEFORE(AN40,","),AN40)</f>
        <v/>
      </c>
      <c r="AP40" s="20" t="str">
        <f ca="1">IFERROR(TRIM(SUBSTITUTE(SUBSTITUTE(SUBSTITUTE(SUBSTITUTE(_xlfn.TEXTAFTER(AN40,",",1),AQ40,""),AR40,""),AS40,""),",","")),"")</f>
        <v/>
      </c>
      <c r="AQ40" s="20" t="str">
        <f ca="1">IFERROR(SUBSTITUTE(SUBSTITUTE(SUBSTITUTE(_xlfn.TEXTAFTER(AN40,",",2),AR40,""),",",""),AS40,""),"")</f>
        <v/>
      </c>
      <c r="AR40" s="20" t="str">
        <f ca="1">IFERROR(SUBSTITUTE(SUBSTITUTE(_xlfn.TEXTAFTER(AN40,",",3),AS40,""),",",""),"")</f>
        <v/>
      </c>
      <c r="AS40" s="20" t="str">
        <f ca="1">IFERROR(_xlfn.TEXTAFTER(AN40,",",4),"")</f>
        <v/>
      </c>
      <c r="AV40" s="11">
        <v>4</v>
      </c>
      <c r="AW40" s="14" t="s">
        <v>59</v>
      </c>
      <c r="AX40" s="12" t="s">
        <v>124</v>
      </c>
      <c r="AY40" t="e">
        <f ca="1">+_xlfn.TEXTBEFORE(text_list[[#This Row],[Text]],"''''!",,0)</f>
        <v>#NAME?</v>
      </c>
      <c r="AZ40" t="e">
        <f ca="1">+_xlfn.TEXTBEFORE(_xlfn.TEXTAFTER(text_list[[#This Row],[Text]],"'''!"),"Label")</f>
        <v>#NAME?</v>
      </c>
      <c r="BA40" t="e">
        <f ca="1">+_xlfn.TEXTAFTER(text_list[[#This Row],[Text]],text_list[[#This Row],[Type based on genre]])</f>
        <v>#NAME?</v>
      </c>
      <c r="BE40" t="s">
        <v>162</v>
      </c>
      <c r="BF40" t="s">
        <v>58</v>
      </c>
      <c r="BG40">
        <f t="shared" ca="1" si="15"/>
        <v>0.94872120103929647</v>
      </c>
      <c r="BO40" t="s">
        <v>162</v>
      </c>
      <c r="BP40" t="s">
        <v>56</v>
      </c>
      <c r="BQ40">
        <f t="shared" ca="1" si="16"/>
        <v>0.3015468286576215</v>
      </c>
    </row>
    <row r="41" spans="6:69" x14ac:dyDescent="0.25">
      <c r="F41" s="3"/>
      <c r="AV41" s="11">
        <v>5</v>
      </c>
      <c r="AW41" s="14" t="s">
        <v>59</v>
      </c>
      <c r="AX41" s="15" t="s">
        <v>168</v>
      </c>
      <c r="AY41" t="e">
        <f ca="1">+_xlfn.TEXTBEFORE(text_list[[#This Row],[Text]],"''''!",,0)</f>
        <v>#NAME?</v>
      </c>
      <c r="AZ41" t="e">
        <f ca="1">+_xlfn.TEXTBEFORE(_xlfn.TEXTAFTER(text_list[[#This Row],[Text]],"'''!"),"Label")</f>
        <v>#NAME?</v>
      </c>
      <c r="BA41" t="e">
        <f ca="1">+_xlfn.TEXTAFTER(text_list[[#This Row],[Text]],text_list[[#This Row],[Type based on genre]])</f>
        <v>#NAME?</v>
      </c>
      <c r="BE41" t="s">
        <v>163</v>
      </c>
      <c r="BF41" t="s">
        <v>58</v>
      </c>
      <c r="BG41">
        <f t="shared" ca="1" si="15"/>
        <v>3.5870693738067283E-2</v>
      </c>
      <c r="BO41" t="s">
        <v>163</v>
      </c>
      <c r="BP41" t="s">
        <v>56</v>
      </c>
      <c r="BQ41">
        <f t="shared" ca="1" si="16"/>
        <v>0.61374282212245324</v>
      </c>
    </row>
    <row r="42" spans="6:69" x14ac:dyDescent="0.25">
      <c r="F42" s="3"/>
      <c r="BE42" t="s">
        <v>164</v>
      </c>
      <c r="BF42" t="s">
        <v>58</v>
      </c>
      <c r="BG42">
        <f t="shared" ca="1" si="15"/>
        <v>0.65765372550761103</v>
      </c>
      <c r="BO42" t="s">
        <v>164</v>
      </c>
      <c r="BP42" t="s">
        <v>56</v>
      </c>
      <c r="BQ42">
        <f t="shared" ca="1" si="16"/>
        <v>0.52116355752497279</v>
      </c>
    </row>
    <row r="43" spans="6:69" x14ac:dyDescent="0.25">
      <c r="F43" s="3"/>
      <c r="BE43" t="s">
        <v>165</v>
      </c>
      <c r="BF43" t="s">
        <v>58</v>
      </c>
      <c r="BG43">
        <f t="shared" ca="1" si="15"/>
        <v>0.74182952302306548</v>
      </c>
      <c r="BO43" t="s">
        <v>165</v>
      </c>
      <c r="BP43" t="s">
        <v>56</v>
      </c>
      <c r="BQ43">
        <f t="shared" ca="1" si="16"/>
        <v>0.37364047361327823</v>
      </c>
    </row>
    <row r="44" spans="6:69" x14ac:dyDescent="0.25">
      <c r="F44" s="3"/>
      <c r="BE44" t="s">
        <v>166</v>
      </c>
      <c r="BF44" t="s">
        <v>58</v>
      </c>
      <c r="BG44">
        <f t="shared" ca="1" si="15"/>
        <v>0.87891555145859235</v>
      </c>
      <c r="BO44" t="s">
        <v>166</v>
      </c>
      <c r="BP44" t="s">
        <v>56</v>
      </c>
      <c r="BQ44">
        <f t="shared" ca="1" si="16"/>
        <v>0.88118412860306772</v>
      </c>
    </row>
    <row r="45" spans="6:69" x14ac:dyDescent="0.25">
      <c r="F45" s="3"/>
      <c r="BE45" t="s">
        <v>167</v>
      </c>
      <c r="BF45" t="s">
        <v>58</v>
      </c>
      <c r="BG45">
        <f t="shared" ca="1" si="15"/>
        <v>0.61658461903922501</v>
      </c>
      <c r="BO45" t="s">
        <v>167</v>
      </c>
      <c r="BP45" t="s">
        <v>56</v>
      </c>
      <c r="BQ45">
        <f t="shared" ca="1" si="16"/>
        <v>0.78734616601270491</v>
      </c>
    </row>
    <row r="46" spans="6:69" x14ac:dyDescent="0.25">
      <c r="F46" s="3"/>
    </row>
    <row r="47" spans="6:69" x14ac:dyDescent="0.25">
      <c r="F47" s="3"/>
    </row>
    <row r="48" spans="6:69" x14ac:dyDescent="0.25">
      <c r="F48" s="3"/>
    </row>
    <row r="49" spans="6:74" x14ac:dyDescent="0.25">
      <c r="F49" s="3"/>
    </row>
    <row r="50" spans="6:74" x14ac:dyDescent="0.25">
      <c r="F50" s="3"/>
      <c r="BI50" t="s">
        <v>7</v>
      </c>
      <c r="BJ50" t="s">
        <v>112</v>
      </c>
      <c r="BK50" t="s">
        <v>169</v>
      </c>
      <c r="BL50" t="s">
        <v>114</v>
      </c>
      <c r="BM50" t="s">
        <v>115</v>
      </c>
      <c r="BN50" t="s">
        <v>116</v>
      </c>
      <c r="BO50" t="s">
        <v>117</v>
      </c>
      <c r="BP50" t="s">
        <v>170</v>
      </c>
      <c r="BQ50" t="s">
        <v>171</v>
      </c>
      <c r="BR50" t="s">
        <v>172</v>
      </c>
      <c r="BS50" t="s">
        <v>173</v>
      </c>
      <c r="BT50" t="s">
        <v>174</v>
      </c>
      <c r="BU50" t="s">
        <v>175</v>
      </c>
      <c r="BV50" t="s">
        <v>176</v>
      </c>
    </row>
    <row r="51" spans="6:74" x14ac:dyDescent="0.25">
      <c r="F51" s="3"/>
      <c r="BI51" t="s">
        <v>36</v>
      </c>
      <c r="BJ51" t="s">
        <v>177</v>
      </c>
      <c r="BK51" t="s">
        <v>178</v>
      </c>
      <c r="BL51" t="str">
        <f>+map_country[[#This Row],[rand]]</f>
        <v>deep_country[rand]</v>
      </c>
      <c r="BM51" t="str">
        <f>"R"&amp;ROW(BG21)&amp;"C"&amp;COLUMN(BG21)</f>
        <v>R21C59</v>
      </c>
      <c r="BN51" t="str">
        <f>+SUBSTITUTE(map_country[[#This Row],[min]],MID(map_country[[#This Row],[min]],2,2),MID(map_country[[#This Row],[min]],2,2)+1)</f>
        <v>R22C59</v>
      </c>
      <c r="BO51" t="str">
        <f>+SUBSTITUTE(map_country[[#This Row],[min]],MID(map_country[[#This Row],[min]],2,2),MID(map_country[[#This Row],[min]],2,2)+2)</f>
        <v>R23C59</v>
      </c>
      <c r="BP51" t="str">
        <f>+SUBSTITUTE(map_country[[#This Row],[min]],MID(map_country[[#This Row],[min]],2,2),MID(map_country[[#This Row],[min]],2,2)+3)</f>
        <v>R24C59</v>
      </c>
      <c r="BQ51" t="str">
        <f>+SUBSTITUTE(map_country[[#This Row],[min]],MID(map_country[[#This Row],[min]],2,2),MID(map_country[[#This Row],[min]],2,2)+4)</f>
        <v>R25C59</v>
      </c>
      <c r="BR51" t="str">
        <f>+SUBSTITUTE(map_country[[#This Row],[min]],MID(map_country[[#This Row],[min]],2,2),MID(map_country[[#This Row],[min]],2,2)+5)</f>
        <v>R26C59</v>
      </c>
      <c r="BS51" t="str">
        <f>+SUBSTITUTE(map_country[[#This Row],[min]],MID(map_country[[#This Row],[min]],2,2),MID(map_country[[#This Row],[min]],2,2)+6)</f>
        <v>R27C59</v>
      </c>
      <c r="BT51" t="str">
        <f>+SUBSTITUTE(map_country[[#This Row],[min]],MID(map_country[[#This Row],[min]],2,2),MID(map_country[[#This Row],[min]],2,2)+7)</f>
        <v>R28C59</v>
      </c>
      <c r="BU51" t="str">
        <f>+SUBSTITUTE(map_country[[#This Row],[min]],MID(map_country[[#This Row],[min]],2,2),MID(map_country[[#This Row],[min]],2,2)+8)</f>
        <v>R29C59</v>
      </c>
      <c r="BV51" t="str">
        <f>+SUBSTITUTE(map_country[[#This Row],[min]],MID(map_country[[#This Row],[min]],2,2),MID(map_country[[#This Row],[min]],2,2)+9)</f>
        <v>R30C59</v>
      </c>
    </row>
    <row r="52" spans="6:74" x14ac:dyDescent="0.25">
      <c r="F52" s="3"/>
      <c r="BI52" t="s">
        <v>50</v>
      </c>
      <c r="BJ52" t="s">
        <v>179</v>
      </c>
      <c r="BK52" t="s">
        <v>180</v>
      </c>
      <c r="BL52" t="str">
        <f>+map_country[[#This Row],[rand]]</f>
        <v>tech_country[rand]</v>
      </c>
      <c r="BM52" t="str">
        <f>"R"&amp;ROW(BL21)&amp;"C"&amp;COLUMN(BL21)</f>
        <v>R21C64</v>
      </c>
      <c r="BN52" t="str">
        <f>+SUBSTITUTE(map_country[[#This Row],[min]],MID(map_country[[#This Row],[min]],2,2),MID(map_country[[#This Row],[min]],2,2)+1)</f>
        <v>R22C64</v>
      </c>
      <c r="BO52" t="str">
        <f>+SUBSTITUTE(map_country[[#This Row],[min]],MID(map_country[[#This Row],[min]],2,2),MID(map_country[[#This Row],[min]],2,2)+2)</f>
        <v>R23C64</v>
      </c>
      <c r="BP52" t="str">
        <f>+SUBSTITUTE(map_country[[#This Row],[min]],MID(map_country[[#This Row],[min]],2,2),MID(map_country[[#This Row],[min]],2,2)+3)</f>
        <v>R24C64</v>
      </c>
      <c r="BQ52" t="str">
        <f>+SUBSTITUTE(map_country[[#This Row],[min]],MID(map_country[[#This Row],[min]],2,2),MID(map_country[[#This Row],[min]],2,2)+4)</f>
        <v>R25C64</v>
      </c>
      <c r="BR52" t="str">
        <f>+SUBSTITUTE(map_country[[#This Row],[min]],MID(map_country[[#This Row],[min]],2,2),MID(map_country[[#This Row],[min]],2,2)+5)</f>
        <v>R26C64</v>
      </c>
      <c r="BS52" t="str">
        <f>+SUBSTITUTE(map_country[[#This Row],[min]],MID(map_country[[#This Row],[min]],2,2),MID(map_country[[#This Row],[min]],2,2)+6)</f>
        <v>R27C64</v>
      </c>
      <c r="BT52" t="str">
        <f>+SUBSTITUTE(map_country[[#This Row],[min]],MID(map_country[[#This Row],[min]],2,2),MID(map_country[[#This Row],[min]],2,2)+7)</f>
        <v>R28C64</v>
      </c>
      <c r="BU52" t="str">
        <f>+SUBSTITUTE(map_country[[#This Row],[min]],MID(map_country[[#This Row],[min]],2,2),MID(map_country[[#This Row],[min]],2,2)+8)</f>
        <v>R29C64</v>
      </c>
      <c r="BV52" t="str">
        <f>+SUBSTITUTE(map_country[[#This Row],[min]],MID(map_country[[#This Row],[min]],2,2),MID(map_country[[#This Row],[min]],2,2)+9)</f>
        <v>R30C64</v>
      </c>
    </row>
    <row r="53" spans="6:74" x14ac:dyDescent="0.25">
      <c r="F53" s="3"/>
      <c r="BI53" t="s">
        <v>52</v>
      </c>
      <c r="BJ53" t="s">
        <v>181</v>
      </c>
      <c r="BK53" t="s">
        <v>182</v>
      </c>
      <c r="BL53" t="str">
        <f>+map_country[[#This Row],[rand]]</f>
        <v>piano_country[rand]</v>
      </c>
      <c r="BM53" t="str">
        <f>"R"&amp;ROW(BP21)&amp;"C"&amp;COLUMN(BP21)</f>
        <v>R21C68</v>
      </c>
      <c r="BN53" t="str">
        <f>+SUBSTITUTE(map_country[[#This Row],[min]],MID(map_country[[#This Row],[min]],2,2),MID(map_country[[#This Row],[min]],2,2)+1)</f>
        <v>R22C68</v>
      </c>
      <c r="BO53" t="str">
        <f>+SUBSTITUTE(map_country[[#This Row],[min]],MID(map_country[[#This Row],[min]],2,2),MID(map_country[[#This Row],[min]],2,2)+2)</f>
        <v>R23C68</v>
      </c>
      <c r="BP53" t="str">
        <f>+SUBSTITUTE(map_country[[#This Row],[min]],MID(map_country[[#This Row],[min]],2,2),MID(map_country[[#This Row],[min]],2,2)+3)</f>
        <v>R24C68</v>
      </c>
      <c r="BQ53" t="str">
        <f>+SUBSTITUTE(map_country[[#This Row],[min]],MID(map_country[[#This Row],[min]],2,2),MID(map_country[[#This Row],[min]],2,2)+4)</f>
        <v>R25C68</v>
      </c>
      <c r="BR53" t="str">
        <f>+SUBSTITUTE(map_country[[#This Row],[min]],MID(map_country[[#This Row],[min]],2,2),MID(map_country[[#This Row],[min]],2,2)+5)</f>
        <v>R26C68</v>
      </c>
      <c r="BS53" t="str">
        <f>+SUBSTITUTE(map_country[[#This Row],[min]],MID(map_country[[#This Row],[min]],2,2),MID(map_country[[#This Row],[min]],2,2)+6)</f>
        <v>R27C68</v>
      </c>
      <c r="BT53" t="str">
        <f>+SUBSTITUTE(map_country[[#This Row],[min]],MID(map_country[[#This Row],[min]],2,2),MID(map_country[[#This Row],[min]],2,2)+7)</f>
        <v>R28C68</v>
      </c>
      <c r="BU53" t="str">
        <f>+SUBSTITUTE(map_country[[#This Row],[min]],MID(map_country[[#This Row],[min]],2,2),MID(map_country[[#This Row],[min]],2,2)+8)</f>
        <v>R29C68</v>
      </c>
      <c r="BV53" t="str">
        <f>+SUBSTITUTE(map_country[[#This Row],[min]],MID(map_country[[#This Row],[min]],2,2),MID(map_country[[#This Row],[min]],2,2)+9)</f>
        <v>R30C68</v>
      </c>
    </row>
    <row r="54" spans="6:74" x14ac:dyDescent="0.25">
      <c r="F54" s="3"/>
      <c r="BI54" t="s">
        <v>54</v>
      </c>
      <c r="BJ54" t="s">
        <v>183</v>
      </c>
      <c r="BK54" t="s">
        <v>184</v>
      </c>
      <c r="BL54" t="str">
        <f>+map_country[[#This Row],[rand]]</f>
        <v>indie_country[rand]</v>
      </c>
      <c r="BM54" t="str">
        <f>"R"&amp;ROW(BT21)&amp;"C"&amp;COLUMN(BT21)</f>
        <v>R21C72</v>
      </c>
      <c r="BN54" t="str">
        <f>+SUBSTITUTE(map_country[[#This Row],[min]],MID(map_country[[#This Row],[min]],2,2),MID(map_country[[#This Row],[min]],2,2)+1)</f>
        <v>R22C72</v>
      </c>
      <c r="BO54" t="str">
        <f>+SUBSTITUTE(map_country[[#This Row],[min]],MID(map_country[[#This Row],[min]],2,2),MID(map_country[[#This Row],[min]],2,2)+2)</f>
        <v>R23C72</v>
      </c>
      <c r="BP54" t="str">
        <f>+SUBSTITUTE(map_country[[#This Row],[min]],MID(map_country[[#This Row],[min]],2,2),MID(map_country[[#This Row],[min]],2,2)+3)</f>
        <v>R24C72</v>
      </c>
      <c r="BQ54" t="str">
        <f>+SUBSTITUTE(map_country[[#This Row],[min]],MID(map_country[[#This Row],[min]],2,2),MID(map_country[[#This Row],[min]],2,2)+4)</f>
        <v>R25C72</v>
      </c>
      <c r="BR54" t="str">
        <f>+SUBSTITUTE(map_country[[#This Row],[min]],MID(map_country[[#This Row],[min]],2,2),MID(map_country[[#This Row],[min]],2,2)+5)</f>
        <v>R26C72</v>
      </c>
      <c r="BS54" t="str">
        <f>+SUBSTITUTE(map_country[[#This Row],[min]],MID(map_country[[#This Row],[min]],2,2),MID(map_country[[#This Row],[min]],2,2)+6)</f>
        <v>R27C72</v>
      </c>
      <c r="BT54" t="str">
        <f>+SUBSTITUTE(map_country[[#This Row],[min]],MID(map_country[[#This Row],[min]],2,2),MID(map_country[[#This Row],[min]],2,2)+7)</f>
        <v>R28C72</v>
      </c>
      <c r="BU54" t="str">
        <f>+SUBSTITUTE(map_country[[#This Row],[min]],MID(map_country[[#This Row],[min]],2,2),MID(map_country[[#This Row],[min]],2,2)+8)</f>
        <v>R29C72</v>
      </c>
      <c r="BV54" t="str">
        <f>+SUBSTITUTE(map_country[[#This Row],[min]],MID(map_country[[#This Row],[min]],2,2),MID(map_country[[#This Row],[min]],2,2)+9)</f>
        <v>R30C72</v>
      </c>
    </row>
    <row r="55" spans="6:74" x14ac:dyDescent="0.25">
      <c r="F55" s="3"/>
      <c r="BI55" t="s">
        <v>56</v>
      </c>
      <c r="BJ55" t="s">
        <v>185</v>
      </c>
      <c r="BK55" t="s">
        <v>186</v>
      </c>
      <c r="BL55" t="str">
        <f>+map_country[[#This Row],[rand]]</f>
        <v>slap_country[rand]</v>
      </c>
      <c r="BM55" t="str">
        <f>"R"&amp;ROW(BQ35)&amp;"C"&amp;COLUMN(BQ35)</f>
        <v>R35C69</v>
      </c>
      <c r="BN55" t="str">
        <f>+SUBSTITUTE(map_country[[#This Row],[min]],MID(map_country[[#This Row],[min]],2,2),MID(map_country[[#This Row],[min]],2,2)+1)</f>
        <v>R36C69</v>
      </c>
      <c r="BO55" t="str">
        <f>+SUBSTITUTE(map_country[[#This Row],[min]],MID(map_country[[#This Row],[min]],2,2),MID(map_country[[#This Row],[min]],2,2)+2)</f>
        <v>R37C69</v>
      </c>
      <c r="BP55" t="str">
        <f>+SUBSTITUTE(map_country[[#This Row],[min]],MID(map_country[[#This Row],[min]],2,2),MID(map_country[[#This Row],[min]],2,2)+3)</f>
        <v>R38C69</v>
      </c>
      <c r="BQ55" t="str">
        <f>+SUBSTITUTE(map_country[[#This Row],[min]],MID(map_country[[#This Row],[min]],2,2),MID(map_country[[#This Row],[min]],2,2)+4)</f>
        <v>R39C69</v>
      </c>
      <c r="BR55" t="str">
        <f>+SUBSTITUTE(map_country[[#This Row],[min]],MID(map_country[[#This Row],[min]],2,2),MID(map_country[[#This Row],[min]],2,2)+5)</f>
        <v>R40C69</v>
      </c>
      <c r="BS55" t="str">
        <f>+SUBSTITUTE(map_country[[#This Row],[min]],MID(map_country[[#This Row],[min]],2,2),MID(map_country[[#This Row],[min]],2,2)+6)</f>
        <v>R41C69</v>
      </c>
      <c r="BT55" t="str">
        <f>+SUBSTITUTE(map_country[[#This Row],[min]],MID(map_country[[#This Row],[min]],2,2),MID(map_country[[#This Row],[min]],2,2)+7)</f>
        <v>R42C69</v>
      </c>
      <c r="BU55" t="str">
        <f>+SUBSTITUTE(map_country[[#This Row],[min]],MID(map_country[[#This Row],[min]],2,2),MID(map_country[[#This Row],[min]],2,2)+8)</f>
        <v>R43C69</v>
      </c>
      <c r="BV55" t="str">
        <f>+SUBSTITUTE(map_country[[#This Row],[min]],MID(map_country[[#This Row],[min]],2,2),MID(map_country[[#This Row],[min]],2,2)+9)</f>
        <v>R44C69</v>
      </c>
    </row>
    <row r="56" spans="6:74" x14ac:dyDescent="0.25">
      <c r="F56" s="3"/>
      <c r="BI56" t="s">
        <v>58</v>
      </c>
      <c r="BJ56" t="s">
        <v>187</v>
      </c>
      <c r="BK56" t="s">
        <v>188</v>
      </c>
      <c r="BL56" t="str">
        <f>+map_country[[#This Row],[rand]]</f>
        <v>brazilian_country[rand]</v>
      </c>
      <c r="BM56" t="str">
        <f>"R"&amp;ROW(BG35)&amp;"C"&amp;COLUMN(BG35)</f>
        <v>R35C59</v>
      </c>
      <c r="BN56" t="str">
        <f>+SUBSTITUTE(map_country[[#This Row],[min]],MID(map_country[[#This Row],[min]],2,2),MID(map_country[[#This Row],[min]],2,2)+1)</f>
        <v>R36C59</v>
      </c>
      <c r="BO56" t="str">
        <f>+SUBSTITUTE(map_country[[#This Row],[min]],MID(map_country[[#This Row],[min]],2,2),MID(map_country[[#This Row],[min]],2,2)+2)</f>
        <v>R37C59</v>
      </c>
      <c r="BP56" t="str">
        <f>+SUBSTITUTE(map_country[[#This Row],[min]],MID(map_country[[#This Row],[min]],2,2),MID(map_country[[#This Row],[min]],2,2)+3)</f>
        <v>R38C59</v>
      </c>
      <c r="BQ56" t="str">
        <f>+SUBSTITUTE(map_country[[#This Row],[min]],MID(map_country[[#This Row],[min]],2,2),MID(map_country[[#This Row],[min]],2,2)+4)</f>
        <v>R39C59</v>
      </c>
      <c r="BR56" t="str">
        <f>+SUBSTITUTE(map_country[[#This Row],[min]],MID(map_country[[#This Row],[min]],2,2),MID(map_country[[#This Row],[min]],2,2)+5)</f>
        <v>R40C59</v>
      </c>
      <c r="BS56" t="str">
        <f>+SUBSTITUTE(map_country[[#This Row],[min]],MID(map_country[[#This Row],[min]],2,2),MID(map_country[[#This Row],[min]],2,2)+6)</f>
        <v>R41C59</v>
      </c>
      <c r="BT56" t="str">
        <f>+SUBSTITUTE(map_country[[#This Row],[min]],MID(map_country[[#This Row],[min]],2,2),MID(map_country[[#This Row],[min]],2,2)+7)</f>
        <v>R42C59</v>
      </c>
      <c r="BU56" t="str">
        <f>+SUBSTITUTE(map_country[[#This Row],[min]],MID(map_country[[#This Row],[min]],2,2),MID(map_country[[#This Row],[min]],2,2)+8)</f>
        <v>R43C59</v>
      </c>
      <c r="BV56" t="str">
        <f>+SUBSTITUTE(map_country[[#This Row],[min]],MID(map_country[[#This Row],[min]],2,2),MID(map_country[[#This Row],[min]],2,2)+9)</f>
        <v>R44C59</v>
      </c>
    </row>
    <row r="57" spans="6:74" x14ac:dyDescent="0.25">
      <c r="F57" s="3"/>
      <c r="BI57" t="s">
        <v>138</v>
      </c>
      <c r="BJ57" t="s">
        <v>189</v>
      </c>
      <c r="BK57" t="s">
        <v>190</v>
      </c>
      <c r="BL57" t="str">
        <f>+map_country[[#This Row],[rand]]</f>
        <v>lo_fi_country[rand]</v>
      </c>
      <c r="BM57" t="str">
        <f>"R"&amp;ROW(BL35)&amp;"C"&amp;COLUMN(BL35)</f>
        <v>R35C64</v>
      </c>
      <c r="BN57" t="str">
        <f>+SUBSTITUTE(map_country[[#This Row],[min]],MID(map_country[[#This Row],[min]],2,2),MID(map_country[[#This Row],[min]],2,2)+1)</f>
        <v>R36C64</v>
      </c>
      <c r="BO57" t="str">
        <f>+SUBSTITUTE(map_country[[#This Row],[min]],MID(map_country[[#This Row],[min]],2,2),MID(map_country[[#This Row],[min]],2,2)+2)</f>
        <v>R37C64</v>
      </c>
      <c r="BP57" t="str">
        <f>+SUBSTITUTE(map_country[[#This Row],[min]],MID(map_country[[#This Row],[min]],2,2),MID(map_country[[#This Row],[min]],2,2)+3)</f>
        <v>R38C64</v>
      </c>
      <c r="BQ57" t="str">
        <f>+SUBSTITUTE(map_country[[#This Row],[min]],MID(map_country[[#This Row],[min]],2,2),MID(map_country[[#This Row],[min]],2,2)+4)</f>
        <v>R39C64</v>
      </c>
      <c r="BR57" t="str">
        <f>+SUBSTITUTE(map_country[[#This Row],[min]],MID(map_country[[#This Row],[min]],2,2),MID(map_country[[#This Row],[min]],2,2))</f>
        <v>R35C64</v>
      </c>
      <c r="BS57" t="str">
        <f>+SUBSTITUTE(map_country[[#This Row],[min]],MID(map_country[[#This Row],[min]],2,2),MID(map_country[[#This Row],[min]],2,2)+1)</f>
        <v>R36C64</v>
      </c>
      <c r="BT57" t="str">
        <f>+SUBSTITUTE(map_country[[#This Row],[min]],MID(map_country[[#This Row],[min]],2,2),MID(map_country[[#This Row],[min]],2,2)+2)</f>
        <v>R37C64</v>
      </c>
      <c r="BU57" t="str">
        <f>+SUBSTITUTE(map_country[[#This Row],[min]],MID(map_country[[#This Row],[min]],2,2),MID(map_country[[#This Row],[min]],2,2)+3)</f>
        <v>R38C64</v>
      </c>
      <c r="BV57" t="str">
        <f>+SUBSTITUTE(map_country[[#This Row],[min]],MID(map_country[[#This Row],[min]],2,2),MID(map_country[[#This Row],[min]],2,2)+4)</f>
        <v>R39C64</v>
      </c>
    </row>
    <row r="58" spans="6:74" x14ac:dyDescent="0.25">
      <c r="F58" s="3"/>
      <c r="BI58" t="s">
        <v>59</v>
      </c>
      <c r="BJ58" t="s">
        <v>191</v>
      </c>
      <c r="BK58" t="s">
        <v>192</v>
      </c>
      <c r="BL58" t="str">
        <f>+map_country[[#This Row],[rand]]</f>
        <v>edm_country[rand]</v>
      </c>
      <c r="BM58" t="str">
        <f>"R"&amp;ROW(BX21)&amp;"C"&amp;COLUMN(BX21)</f>
        <v>R21C76</v>
      </c>
      <c r="BN58" t="str">
        <f>+SUBSTITUTE(map_country[[#This Row],[min]],MID(map_country[[#This Row],[min]],2,2),MID(map_country[[#This Row],[min]],2,2)+1)</f>
        <v>R22C76</v>
      </c>
      <c r="BO58" t="str">
        <f>+SUBSTITUTE(map_country[[#This Row],[min]],MID(map_country[[#This Row],[min]],2,2),MID(map_country[[#This Row],[min]],2,2)+2)</f>
        <v>R23C76</v>
      </c>
      <c r="BP58" t="str">
        <f>+SUBSTITUTE(map_country[[#This Row],[min]],MID(map_country[[#This Row],[min]],2,2),MID(map_country[[#This Row],[min]],2,2)+3)</f>
        <v>R24C76</v>
      </c>
      <c r="BQ58" t="str">
        <f>+SUBSTITUTE(map_country[[#This Row],[min]],MID(map_country[[#This Row],[min]],2,2),MID(map_country[[#This Row],[min]],2,2)+4)</f>
        <v>R25C76</v>
      </c>
      <c r="BR58" t="str">
        <f>+SUBSTITUTE(map_country[[#This Row],[min]],MID(map_country[[#This Row],[min]],2,2),MID(map_country[[#This Row],[min]],2,2)+5)</f>
        <v>R26C76</v>
      </c>
      <c r="BS58" t="str">
        <f>+SUBSTITUTE(map_country[[#This Row],[min]],MID(map_country[[#This Row],[min]],2,2),MID(map_country[[#This Row],[min]],2,2)+6)</f>
        <v>R27C76</v>
      </c>
      <c r="BT58" t="str">
        <f>+SUBSTITUTE(map_country[[#This Row],[min]],MID(map_country[[#This Row],[min]],2,2),MID(map_country[[#This Row],[min]],2,2)+7)</f>
        <v>R28C76</v>
      </c>
      <c r="BU58" t="str">
        <f>+SUBSTITUTE(map_country[[#This Row],[min]],MID(map_country[[#This Row],[min]],2,2),MID(map_country[[#This Row],[min]],2,2)+8)</f>
        <v>R29C76</v>
      </c>
      <c r="BV58" t="str">
        <f>+SUBSTITUTE(map_country[[#This Row],[min]],MID(map_country[[#This Row],[min]],2,2),MID(map_country[[#This Row],[min]],2,2)+9)</f>
        <v>R30C76</v>
      </c>
    </row>
    <row r="59" spans="6:74" x14ac:dyDescent="0.25">
      <c r="F59" s="3"/>
    </row>
    <row r="60" spans="6:74" x14ac:dyDescent="0.25">
      <c r="F60" s="3"/>
    </row>
    <row r="61" spans="6:74" x14ac:dyDescent="0.25">
      <c r="F61" s="3"/>
    </row>
    <row r="62" spans="6:74" x14ac:dyDescent="0.25">
      <c r="F62" s="3"/>
    </row>
    <row r="63" spans="6:74" x14ac:dyDescent="0.25">
      <c r="F63" s="3"/>
    </row>
    <row r="64" spans="6:74" x14ac:dyDescent="0.25">
      <c r="F64" s="3"/>
    </row>
  </sheetData>
  <mergeCells count="3">
    <mergeCell ref="O1:T1"/>
    <mergeCell ref="X1:AF1"/>
    <mergeCell ref="AG1:AL1"/>
  </mergeCells>
  <conditionalFormatting sqref="BE3:BE5">
    <cfRule type="duplicateValues" dxfId="8" priority="10"/>
  </conditionalFormatting>
  <conditionalFormatting sqref="BI3:BI5">
    <cfRule type="duplicateValues" dxfId="7" priority="9"/>
  </conditionalFormatting>
  <conditionalFormatting sqref="BN3:BN6">
    <cfRule type="duplicateValues" dxfId="6" priority="8"/>
  </conditionalFormatting>
  <conditionalFormatting sqref="BR3:BR5">
    <cfRule type="duplicateValues" dxfId="5" priority="7"/>
  </conditionalFormatting>
  <conditionalFormatting sqref="BV3:BV5">
    <cfRule type="duplicateValues" dxfId="4" priority="6"/>
  </conditionalFormatting>
  <conditionalFormatting sqref="BZ3:BZ5">
    <cfRule type="duplicateValues" dxfId="3" priority="5"/>
  </conditionalFormatting>
  <conditionalFormatting sqref="BL9:BL15">
    <cfRule type="duplicateValues" dxfId="2" priority="4"/>
  </conditionalFormatting>
  <conditionalFormatting sqref="BM51:BM58">
    <cfRule type="duplicateValues" dxfId="1" priority="3"/>
  </conditionalFormatting>
  <conditionalFormatting sqref="CD3:CD5">
    <cfRule type="duplicateValues" dxfId="0" priority="1"/>
  </conditionalFormatting>
  <pageMargins left="0.75" right="0.75" top="1" bottom="1" header="0.5" footer="0.5"/>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newproc">
                <anchor moveWithCells="1" sizeWithCells="1">
                  <from>
                    <xdr:col>5</xdr:col>
                    <xdr:colOff>180975</xdr:colOff>
                    <xdr:row>17</xdr:row>
                    <xdr:rowOff>180975</xdr:rowOff>
                  </from>
                  <to>
                    <xdr:col>5</xdr:col>
                    <xdr:colOff>1095375</xdr:colOff>
                    <xdr:row>18</xdr:row>
                    <xdr:rowOff>180975</xdr:rowOff>
                  </to>
                </anchor>
              </controlPr>
            </control>
          </mc:Choice>
        </mc:AlternateContent>
      </controls>
    </mc:Choice>
  </mc:AlternateContent>
  <tableParts count="18">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Eldar</cp:lastModifiedBy>
  <dcterms:created xsi:type="dcterms:W3CDTF">2022-10-16T20:29:10Z</dcterms:created>
  <dcterms:modified xsi:type="dcterms:W3CDTF">2022-11-26T19:04:05Z</dcterms:modified>
</cp:coreProperties>
</file>